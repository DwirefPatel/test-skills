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1099-B Lots" sheetId="2" state="visible" r:id="rId4"/>
    <sheet name="By Security" sheetId="3" state="visible" r:id="rId5"/>
    <sheet name="Wash Sales" sheetId="4" state="visible" r:id="rId6"/>
    <sheet name="Noncovered Lots" sheetId="5" state="visible" r:id="rId7"/>
    <sheet name="Crypto 1099-DA" sheetId="6" state="visible" r:id="rId8"/>
    <sheet name="Income Detail" sheetId="7" state="visible" r:id="rId9"/>
    <sheet name="Flags &amp; Questions" sheetId="8" state="visible" r:id="rId10"/>
  </sheets>
  <definedNames>
    <definedName function="false" hidden="true" localSheetId="1" name="_xlnm._FilterDatabase" vbProcedure="false">'1099-B Lots'!$A$4:$R$17</definedName>
    <definedName function="false" hidden="true" localSheetId="2" name="_xlnm._FilterDatabase" vbProcedure="false">'By Security'!$A$4:$H$14</definedName>
    <definedName function="false" hidden="true" localSheetId="5" name="_xlnm._FilterDatabase" vbProcedure="false">'Crypto 1099-DA'!$A$4:$R$6</definedName>
    <definedName function="false" hidden="true" localSheetId="6" name="_xlnm._FilterDatabase" vbProcedure="false">'Income Detail'!$A$4:$H$17</definedName>
    <definedName function="false" hidden="true" localSheetId="4" name="_xlnm._FilterDatabase" vbProcedure="false">'Noncovered Lots'!$A$4:$R$9</definedName>
    <definedName function="false" hidden="true" localSheetId="3" name="_xlnm._FilterDatabase" vbProcedure="false">'Wash Sales'!$A$4:$L$6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<sst xmlns="http://schemas.openxmlformats.org/spreadsheetml/2006/main" count="981" uniqueCount="491">
  <si>
    <t xml:space="preserve">Brokerage 1099 Summary - Sample Client</t>
  </si>
  <si>
    <t xml:space="preserve">Preparer workpaper for data entry - not tax advice. Recipient TIN and account numbers shown as last 4 only.</t>
  </si>
  <si>
    <t xml:space="preserve">Client</t>
  </si>
  <si>
    <t xml:space="preserve">Sample Client</t>
  </si>
  <si>
    <t xml:space="preserve">Tax year</t>
  </si>
  <si>
    <t xml:space="preserve">2025</t>
  </si>
  <si>
    <t xml:space="preserve">Broker</t>
  </si>
  <si>
    <t xml:space="preserve">Example Brokerage</t>
  </si>
  <si>
    <t xml:space="preserve">Statement date</t>
  </si>
  <si>
    <t xml:space="preserve">Status</t>
  </si>
  <si>
    <t xml:space="preserve">Original</t>
  </si>
  <si>
    <t xml:space="preserve">Recipient TIN</t>
  </si>
  <si>
    <t xml:space="preserve">****6789</t>
  </si>
  <si>
    <t xml:space="preserve">Forms present</t>
  </si>
  <si>
    <t xml:space="preserve">1099-B, 1099-DA, 1099-DIV, 1099-INT, 1099-OID, 1099-MISC</t>
  </si>
  <si>
    <t xml:space="preserve">Source file</t>
  </si>
  <si>
    <t xml:space="preserve">sample_consolidated_1099.pdf</t>
  </si>
  <si>
    <t xml:space="preserve">Payer name</t>
  </si>
  <si>
    <t xml:space="preserve">Payer EIN</t>
  </si>
  <si>
    <t xml:space="preserve">Account</t>
  </si>
  <si>
    <t xml:space="preserve">Forms covered</t>
  </si>
  <si>
    <t xml:space="preserve">Example Brokerage LLC</t>
  </si>
  <si>
    <t xml:space="preserve">12-3456789</t>
  </si>
  <si>
    <t xml:space="preserve">****5678</t>
  </si>
  <si>
    <t xml:space="preserve">1099-B, 1099-DIV, 1099-INT, 1099-OID, 1099-MISC</t>
  </si>
  <si>
    <t xml:space="preserve">Example Digital Assets LLC</t>
  </si>
  <si>
    <t xml:space="preserve">98-7654321</t>
  </si>
  <si>
    <t xml:space="preserve">****9999</t>
  </si>
  <si>
    <t xml:space="preserve">1099-DA</t>
  </si>
  <si>
    <t xml:space="preserve">Form 8949 one-line entry - basis REPORTED to IRS</t>
  </si>
  <si>
    <t xml:space="preserve">Term</t>
  </si>
  <si>
    <t xml:space="preserve">8949 box</t>
  </si>
  <si>
    <t xml:space="preserve">(d) Proceeds</t>
  </si>
  <si>
    <t xml:space="preserve">(e) Cost basis</t>
  </si>
  <si>
    <t xml:space="preserve">(f) Code</t>
  </si>
  <si>
    <t xml:space="preserve">(g) Wash sale adj</t>
  </si>
  <si>
    <t xml:space="preserve">(h) Gain/(loss)</t>
  </si>
  <si>
    <t xml:space="preserve">Note</t>
  </si>
  <si>
    <t xml:space="preserve">Short-term</t>
  </si>
  <si>
    <t xml:space="preserve">A</t>
  </si>
  <si>
    <t xml:space="preserve">Short-term - Ordinary</t>
  </si>
  <si>
    <t xml:space="preserve">Long-term</t>
  </si>
  <si>
    <t xml:space="preserve">D</t>
  </si>
  <si>
    <t xml:space="preserve">Digital asset short-term</t>
  </si>
  <si>
    <t xml:space="preserve">G</t>
  </si>
  <si>
    <t xml:space="preserve">Digital asset long-term</t>
  </si>
  <si>
    <t xml:space="preserve">J</t>
  </si>
  <si>
    <t xml:space="preserve">None reported</t>
  </si>
  <si>
    <t xml:space="preserve">Tie-out to amounts reported (per term)</t>
  </si>
  <si>
    <t xml:space="preserve">Short-term, basis reported to IRS (Box A)</t>
  </si>
  <si>
    <t xml:space="preserve">Proceeds - Cost = Gain/(loss) before wash</t>
  </si>
  <si>
    <t xml:space="preserve">Add: wash sale loss disallowed (Wash Sales tab)</t>
  </si>
  <si>
    <t xml:space="preserve">Equals: reportable gain/(loss)</t>
  </si>
  <si>
    <t xml:space="preserve">Broker-reported gain/(loss) (1099-B summary p.3)</t>
  </si>
  <si>
    <t xml:space="preserve">Diff (must be 0)</t>
  </si>
  <si>
    <t xml:space="preserve">Wash sale detail by security</t>
  </si>
  <si>
    <t xml:space="preserve">CUSIP</t>
  </si>
  <si>
    <t xml:space="preserve"># lines</t>
  </si>
  <si>
    <t xml:space="preserve">Disallowed</t>
  </si>
  <si>
    <t xml:space="preserve">APPLE INC</t>
  </si>
  <si>
    <t xml:space="preserve">037833100</t>
  </si>
  <si>
    <t xml:space="preserve">TESLA INC</t>
  </si>
  <si>
    <t xml:space="preserve">88160R101</t>
  </si>
  <si>
    <t xml:space="preserve">Total</t>
  </si>
  <si>
    <t xml:space="preserve">Broker wash total (1099-B summary)</t>
  </si>
  <si>
    <t xml:space="preserve">Long-term, basis reported to IRS (Box D)</t>
  </si>
  <si>
    <t xml:space="preserve">No wash sales reported in Box D.</t>
  </si>
  <si>
    <t xml:space="preserve">Digital asset short-term, basis reported (Box G)</t>
  </si>
  <si>
    <t xml:space="preserve">Broker-reported gain/(loss) (1099-B summary p.19)</t>
  </si>
  <si>
    <t xml:space="preserve">No wash sales reported in Box G.</t>
  </si>
  <si>
    <t xml:space="preserve">Digital asset long-term, basis reported (Box J)</t>
  </si>
  <si>
    <t xml:space="preserve">Broker-reported gain/(loss) (1099-B summary)</t>
  </si>
  <si>
    <t xml:space="preserve">No wash sales reported in Box J.</t>
  </si>
  <si>
    <t xml:space="preserve">Basis NOT reported / noncovered / unknown term - ENTER EACH LOT INDIVIDUALLY</t>
  </si>
  <si>
    <t xml:space="preserve">Box</t>
  </si>
  <si>
    <t xml:space="preserve">Proceeds</t>
  </si>
  <si>
    <t xml:space="preserve">Cost (1099)</t>
  </si>
  <si>
    <t xml:space="preserve"># lots</t>
  </si>
  <si>
    <t xml:space="preserve">Enter from tab</t>
  </si>
  <si>
    <t xml:space="preserve">Box B - Short-term, basis NOT reported</t>
  </si>
  <si>
    <t xml:space="preserve">Noncovered Lots</t>
  </si>
  <si>
    <t xml:space="preserve">Cost N/A on 1 lot(s)</t>
  </si>
  <si>
    <t xml:space="preserve">Box E - Long-term, basis NOT reported</t>
  </si>
  <si>
    <t xml:space="preserve">Box X - Unknown term (term and basis from client)</t>
  </si>
  <si>
    <t xml:space="preserve">Term AND basis must come from the client. Cost N/A on 1 lot(s)</t>
  </si>
  <si>
    <t xml:space="preserve">Box H - Digital asset short-term, basis NOT reported</t>
  </si>
  <si>
    <t xml:space="preserve">Totals above are for tie-out only and are NOT keyed as a summary line.</t>
  </si>
  <si>
    <t xml:space="preserve">Security</t>
  </si>
  <si>
    <t xml:space="preserve">Qty</t>
  </si>
  <si>
    <t xml:space="preserve">Date acquired</t>
  </si>
  <si>
    <t xml:space="preserve">Date sold</t>
  </si>
  <si>
    <t xml:space="preserve">Cost</t>
  </si>
  <si>
    <t xml:space="preserve">Missing</t>
  </si>
  <si>
    <t xml:space="preserve">basis, date acquired</t>
  </si>
  <si>
    <t xml:space="preserve">verify basis</t>
  </si>
  <si>
    <t xml:space="preserve">term, basis, date acquired</t>
  </si>
  <si>
    <t xml:space="preserve">basis</t>
  </si>
  <si>
    <t xml:space="preserve">Income headline items</t>
  </si>
  <si>
    <t xml:space="preserve">Item</t>
  </si>
  <si>
    <t xml:space="preserve">Form / box</t>
  </si>
  <si>
    <t xml:space="preserve">Amount</t>
  </si>
  <si>
    <t xml:space="preserve">Destination</t>
  </si>
  <si>
    <t xml:space="preserve">Source tab</t>
  </si>
  <si>
    <t xml:space="preserve">Total ordinary dividends</t>
  </si>
  <si>
    <t xml:space="preserve">DIV 1a</t>
  </si>
  <si>
    <t xml:space="preserve">Sch B Part II / 1040 line 3b</t>
  </si>
  <si>
    <t xml:space="preserve">Income Detail</t>
  </si>
  <si>
    <t xml:space="preserve">Qualified dividends</t>
  </si>
  <si>
    <t xml:space="preserve">DIV 1b</t>
  </si>
  <si>
    <t xml:space="preserve">1040 line 3a</t>
  </si>
  <si>
    <t xml:space="preserve">Total capital gain distributions</t>
  </si>
  <si>
    <t xml:space="preserve">DIV 2a</t>
  </si>
  <si>
    <t xml:space="preserve">Sch D line 13</t>
  </si>
  <si>
    <t xml:space="preserve">Foreign tax paid</t>
  </si>
  <si>
    <t xml:space="preserve">DIV 7</t>
  </si>
  <si>
    <t xml:space="preserve">Sch 3 line 1 or Form 1116</t>
  </si>
  <si>
    <t xml:space="preserve">Interest income</t>
  </si>
  <si>
    <t xml:space="preserve">INT 1</t>
  </si>
  <si>
    <t xml:space="preserve">Sch B Part I / 1040 line 2b</t>
  </si>
  <si>
    <t xml:space="preserve">Interest on U.S. savings bonds &amp; Treasury obligations</t>
  </si>
  <si>
    <t xml:space="preserve">INT 3</t>
  </si>
  <si>
    <t xml:space="preserve">Sch B / 1040 line 2b; state subtraction</t>
  </si>
  <si>
    <t xml:space="preserve">OID on U.S. Treasury obligations</t>
  </si>
  <si>
    <t xml:space="preserve">OID 8</t>
  </si>
  <si>
    <t xml:space="preserve">Sch B; state subtraction</t>
  </si>
  <si>
    <t xml:space="preserve">Substitute payments in lieu of dividends or interest</t>
  </si>
  <si>
    <t xml:space="preserve">MISC 8</t>
  </si>
  <si>
    <t xml:space="preserve">Sch 1 line 8z (ordinary, NOT qualified)</t>
  </si>
  <si>
    <t xml:space="preserve">All other 1099-DIV, 1099-INT, 1099-MISC, 1099-OID boxes: 0</t>
  </si>
  <si>
    <t xml:space="preserve">Margin interest paid</t>
  </si>
  <si>
    <t xml:space="preserve">Supplemental</t>
  </si>
  <si>
    <t xml:space="preserve">Form 4952 (investment interest)</t>
  </si>
  <si>
    <t xml:space="preserve">ADR fees</t>
  </si>
  <si>
    <t xml:space="preserve">Not deductible</t>
  </si>
  <si>
    <t xml:space="preserve">Section 1256 contracts</t>
  </si>
  <si>
    <t xml:space="preserve">Form 6781</t>
  </si>
  <si>
    <t xml:space="preserve">State: U.S. Treasury / federal obligation subtraction</t>
  </si>
  <si>
    <t xml:space="preserve">State</t>
  </si>
  <si>
    <t xml:space="preserve">State subtraction (e.g. Colorado)</t>
  </si>
  <si>
    <t xml:space="preserve">Form 1040 digital asset question</t>
  </si>
  <si>
    <t xml:space="preserve">YES</t>
  </si>
  <si>
    <t xml:space="preserve">Tie-out checks (every value must be 0.00)</t>
  </si>
  <si>
    <t xml:space="preserve">Check</t>
  </si>
  <si>
    <t xml:space="preserve">Value</t>
  </si>
  <si>
    <t xml:space="preserve">Location</t>
  </si>
  <si>
    <t xml:space="preserve">1099-B Lots: every lot calc = broker gain/(loss)</t>
  </si>
  <si>
    <t xml:space="preserve">1099-B Lots!O19</t>
  </si>
  <si>
    <t xml:space="preserve">1099-B Lots: Box A proceeds = broker summary</t>
  </si>
  <si>
    <t xml:space="preserve">1099-B Lots!I40</t>
  </si>
  <si>
    <t xml:space="preserve">1099-B Lots: Box A cost = broker summary</t>
  </si>
  <si>
    <t xml:space="preserve">1099-B Lots!J40</t>
  </si>
  <si>
    <t xml:space="preserve">1099-B Lots: Box A market discount = broker summary</t>
  </si>
  <si>
    <t xml:space="preserve">1099-B Lots!K40</t>
  </si>
  <si>
    <t xml:space="preserve">1099-B Lots: Box A wash = broker summary</t>
  </si>
  <si>
    <t xml:space="preserve">1099-B Lots!L40</t>
  </si>
  <si>
    <t xml:space="preserve">1099-B Lots: Box A gain/(loss) = broker summary</t>
  </si>
  <si>
    <t xml:space="preserve">1099-B Lots!M40</t>
  </si>
  <si>
    <t xml:space="preserve">1099-B Lots: Box B proceeds = broker summary</t>
  </si>
  <si>
    <t xml:space="preserve">1099-B Lots!I41</t>
  </si>
  <si>
    <t xml:space="preserve">1099-B Lots: Box B cost = broker summary</t>
  </si>
  <si>
    <t xml:space="preserve">1099-B Lots!J41</t>
  </si>
  <si>
    <t xml:space="preserve">1099-B Lots: Box B market discount = broker summary</t>
  </si>
  <si>
    <t xml:space="preserve">1099-B Lots!K41</t>
  </si>
  <si>
    <t xml:space="preserve">1099-B Lots: Box B wash = broker summary</t>
  </si>
  <si>
    <t xml:space="preserve">1099-B Lots!L41</t>
  </si>
  <si>
    <t xml:space="preserve">1099-B Lots: Box B gain/(loss) = broker summary</t>
  </si>
  <si>
    <t xml:space="preserve">1099-B Lots!M41</t>
  </si>
  <si>
    <t xml:space="preserve">1099-B Lots: Box D proceeds = broker summary</t>
  </si>
  <si>
    <t xml:space="preserve">1099-B Lots!I42</t>
  </si>
  <si>
    <t xml:space="preserve">1099-B Lots: Box D cost = broker summary</t>
  </si>
  <si>
    <t xml:space="preserve">1099-B Lots!J42</t>
  </si>
  <si>
    <t xml:space="preserve">1099-B Lots: Box D market discount = broker summary</t>
  </si>
  <si>
    <t xml:space="preserve">1099-B Lots!K42</t>
  </si>
  <si>
    <t xml:space="preserve">1099-B Lots: Box D wash = broker summary</t>
  </si>
  <si>
    <t xml:space="preserve">1099-B Lots!L42</t>
  </si>
  <si>
    <t xml:space="preserve">1099-B Lots: Box D gain/(loss) = broker summary</t>
  </si>
  <si>
    <t xml:space="preserve">1099-B Lots!M42</t>
  </si>
  <si>
    <t xml:space="preserve">1099-B Lots: Box E proceeds = broker summary</t>
  </si>
  <si>
    <t xml:space="preserve">1099-B Lots!I43</t>
  </si>
  <si>
    <t xml:space="preserve">1099-B Lots: Box E cost = broker summary</t>
  </si>
  <si>
    <t xml:space="preserve">1099-B Lots!J43</t>
  </si>
  <si>
    <t xml:space="preserve">1099-B Lots: Box E market discount = broker summary</t>
  </si>
  <si>
    <t xml:space="preserve">1099-B Lots!K43</t>
  </si>
  <si>
    <t xml:space="preserve">1099-B Lots: Box E wash = broker summary</t>
  </si>
  <si>
    <t xml:space="preserve">1099-B Lots!L43</t>
  </si>
  <si>
    <t xml:space="preserve">1099-B Lots: Box E gain/(loss) = broker summary</t>
  </si>
  <si>
    <t xml:space="preserve">1099-B Lots!M43</t>
  </si>
  <si>
    <t xml:space="preserve">1099-B Lots: Box X proceeds = broker summary</t>
  </si>
  <si>
    <t xml:space="preserve">1099-B Lots!I44</t>
  </si>
  <si>
    <t xml:space="preserve">1099-B Lots: Box X cost = broker summary</t>
  </si>
  <si>
    <t xml:space="preserve">1099-B Lots!J44</t>
  </si>
  <si>
    <t xml:space="preserve">1099-B Lots: Box X market discount = broker summary</t>
  </si>
  <si>
    <t xml:space="preserve">1099-B Lots!K44</t>
  </si>
  <si>
    <t xml:space="preserve">1099-B Lots: Box X wash = broker summary</t>
  </si>
  <si>
    <t xml:space="preserve">1099-B Lots!L44</t>
  </si>
  <si>
    <t xml:space="preserve">1099-B Lots: Box X gain/(loss) = broker summary</t>
  </si>
  <si>
    <t xml:space="preserve">1099-B Lots!M44</t>
  </si>
  <si>
    <t xml:space="preserve">Crypto 1099-DA: every lot calc = broker gain/(loss)</t>
  </si>
  <si>
    <t xml:space="preserve">Crypto 1099-DA!O8</t>
  </si>
  <si>
    <t xml:space="preserve">Crypto 1099-DA: Box G proceeds = broker summary</t>
  </si>
  <si>
    <t xml:space="preserve">Crypto 1099-DA!I25</t>
  </si>
  <si>
    <t xml:space="preserve">Crypto 1099-DA: Box G cost = broker summary</t>
  </si>
  <si>
    <t xml:space="preserve">Crypto 1099-DA!J25</t>
  </si>
  <si>
    <t xml:space="preserve">Crypto 1099-DA: Box G market discount = broker summary</t>
  </si>
  <si>
    <t xml:space="preserve">Crypto 1099-DA!K25</t>
  </si>
  <si>
    <t xml:space="preserve">Crypto 1099-DA: Box G wash = broker summary</t>
  </si>
  <si>
    <t xml:space="preserve">Crypto 1099-DA!L25</t>
  </si>
  <si>
    <t xml:space="preserve">Crypto 1099-DA: Box G gain/(loss) = broker summary</t>
  </si>
  <si>
    <t xml:space="preserve">Crypto 1099-DA!M25</t>
  </si>
  <si>
    <t xml:space="preserve">Crypto 1099-DA: Box H proceeds = broker summary</t>
  </si>
  <si>
    <t xml:space="preserve">Crypto 1099-DA!I26</t>
  </si>
  <si>
    <t xml:space="preserve">Crypto 1099-DA: Box H cost = broker summary</t>
  </si>
  <si>
    <t xml:space="preserve">Crypto 1099-DA!J26</t>
  </si>
  <si>
    <t xml:space="preserve">Crypto 1099-DA: Box H market discount = broker summary</t>
  </si>
  <si>
    <t xml:space="preserve">Crypto 1099-DA!K26</t>
  </si>
  <si>
    <t xml:space="preserve">Crypto 1099-DA: Box H wash = broker summary</t>
  </si>
  <si>
    <t xml:space="preserve">Crypto 1099-DA!L26</t>
  </si>
  <si>
    <t xml:space="preserve">Crypto 1099-DA: Box H gain/(loss) = broker summary</t>
  </si>
  <si>
    <t xml:space="preserve">Crypto 1099-DA!M26</t>
  </si>
  <si>
    <t xml:space="preserve">Crypto 1099-DA: by-asset proceeds = lot total</t>
  </si>
  <si>
    <t xml:space="preserve">Crypto 1099-DA!I39</t>
  </si>
  <si>
    <t xml:space="preserve">Crypto 1099-DA: by-asset wash = lot total</t>
  </si>
  <si>
    <t xml:space="preserve">Crypto 1099-DA!L39</t>
  </si>
  <si>
    <t xml:space="preserve">By Security lot count = 1099-B Lots total</t>
  </si>
  <si>
    <t xml:space="preserve">By Security!C17</t>
  </si>
  <si>
    <t xml:space="preserve">By Security proceeds = 1099-B Lots total</t>
  </si>
  <si>
    <t xml:space="preserve">By Security!D17</t>
  </si>
  <si>
    <t xml:space="preserve">By Security basis = 1099-B Lots total</t>
  </si>
  <si>
    <t xml:space="preserve">By Security!E17</t>
  </si>
  <si>
    <t xml:space="preserve">By Security wash = 1099-B Lots total</t>
  </si>
  <si>
    <t xml:space="preserve">By Security!F17</t>
  </si>
  <si>
    <t xml:space="preserve">By Security net = 1099-B Lots total</t>
  </si>
  <si>
    <t xml:space="preserve">By Security!G17</t>
  </si>
  <si>
    <t xml:space="preserve">Wash Sales: every line calc = broker gain/(loss)</t>
  </si>
  <si>
    <t xml:space="preserve">Wash Sales!K7</t>
  </si>
  <si>
    <t xml:space="preserve">Wash Sales tab total = lot tab wash total</t>
  </si>
  <si>
    <t xml:space="preserve">Wash Sales!H9</t>
  </si>
  <si>
    <t xml:space="preserve">Wash Sales: Box A detail = broker wash total</t>
  </si>
  <si>
    <t xml:space="preserve">Wash Sales!I18</t>
  </si>
  <si>
    <t xml:space="preserve">Wash Sales: Box B detail = broker wash total</t>
  </si>
  <si>
    <t xml:space="preserve">Wash Sales!I19</t>
  </si>
  <si>
    <t xml:space="preserve">Wash Sales: Box D detail = broker wash total</t>
  </si>
  <si>
    <t xml:space="preserve">Wash Sales!I20</t>
  </si>
  <si>
    <t xml:space="preserve">Wash Sales: Box E detail = broker wash total</t>
  </si>
  <si>
    <t xml:space="preserve">Wash Sales!I21</t>
  </si>
  <si>
    <t xml:space="preserve">Wash Sales: Box X detail = broker wash total</t>
  </si>
  <si>
    <t xml:space="preserve">Wash Sales!I22</t>
  </si>
  <si>
    <t xml:space="preserve">Wash Sales: Box G detail = broker wash total</t>
  </si>
  <si>
    <t xml:space="preserve">Wash Sales!I23</t>
  </si>
  <si>
    <t xml:space="preserve">Wash Sales: Box H detail = broker wash total</t>
  </si>
  <si>
    <t xml:space="preserve">Wash Sales!I24</t>
  </si>
  <si>
    <t xml:space="preserve">Noncovered: Box B proceeds = broker summary</t>
  </si>
  <si>
    <t xml:space="preserve">Noncovered Lots!Q14</t>
  </si>
  <si>
    <t xml:space="preserve">Noncovered: Box B wash = broker summary</t>
  </si>
  <si>
    <t xml:space="preserve">Noncovered Lots!R14</t>
  </si>
  <si>
    <t xml:space="preserve">Noncovered: Box E proceeds = broker summary</t>
  </si>
  <si>
    <t xml:space="preserve">Noncovered Lots!Q15</t>
  </si>
  <si>
    <t xml:space="preserve">Noncovered: Box E wash = broker summary</t>
  </si>
  <si>
    <t xml:space="preserve">Noncovered Lots!R15</t>
  </si>
  <si>
    <t xml:space="preserve">Noncovered: Box X proceeds = broker summary</t>
  </si>
  <si>
    <t xml:space="preserve">Noncovered Lots!Q16</t>
  </si>
  <si>
    <t xml:space="preserve">Noncovered: Box X wash = broker summary</t>
  </si>
  <si>
    <t xml:space="preserve">Noncovered Lots!R16</t>
  </si>
  <si>
    <t xml:space="preserve">Noncovered: Box H proceeds = broker summary</t>
  </si>
  <si>
    <t xml:space="preserve">Noncovered Lots!Q17</t>
  </si>
  <si>
    <t xml:space="preserve">Noncovered: Box H wash = broker summary</t>
  </si>
  <si>
    <t xml:space="preserve">Noncovered Lots!R17</t>
  </si>
  <si>
    <t xml:space="preserve">1099-DIV box 1a: detail = box amount</t>
  </si>
  <si>
    <t xml:space="preserve">Income Detail!G21</t>
  </si>
  <si>
    <t xml:space="preserve">1099-DIV box 1b: detail = box amount</t>
  </si>
  <si>
    <t xml:space="preserve">Income Detail!G22</t>
  </si>
  <si>
    <t xml:space="preserve">1099-DIV box 2a: detail = box amount</t>
  </si>
  <si>
    <t xml:space="preserve">Income Detail!G23</t>
  </si>
  <si>
    <t xml:space="preserve">1099-DIV box 7: detail = box amount</t>
  </si>
  <si>
    <t xml:space="preserve">Income Detail!G24</t>
  </si>
  <si>
    <t xml:space="preserve">1099-INT box 1: detail = box amount</t>
  </si>
  <si>
    <t xml:space="preserve">Income Detail!G25</t>
  </si>
  <si>
    <t xml:space="preserve">1099-INT box 3: detail = box amount</t>
  </si>
  <si>
    <t xml:space="preserve">Income Detail!G26</t>
  </si>
  <si>
    <t xml:space="preserve">1099-OID box 8: detail = box amount</t>
  </si>
  <si>
    <t xml:space="preserve">Income Detail!G27</t>
  </si>
  <si>
    <t xml:space="preserve">1099-MISC box 8: detail = box amount</t>
  </si>
  <si>
    <t xml:space="preserve">Income Detail!G28</t>
  </si>
  <si>
    <t xml:space="preserve">Summary: Box A proceeds - cost + wash = broker gain/(loss)</t>
  </si>
  <si>
    <t xml:space="preserve">Summary!G31</t>
  </si>
  <si>
    <t xml:space="preserve">Summary: Box A wash by security = broker wash</t>
  </si>
  <si>
    <t xml:space="preserve">Summary!G37</t>
  </si>
  <si>
    <t xml:space="preserve">Summary: Box D proceeds - cost + wash = broker gain/(loss)</t>
  </si>
  <si>
    <t xml:space="preserve">Summary!G44</t>
  </si>
  <si>
    <t xml:space="preserve">Summary: Box G proceeds - cost + wash = broker gain/(loss)</t>
  </si>
  <si>
    <t xml:space="preserve">Summary!G52</t>
  </si>
  <si>
    <t xml:space="preserve">Summary: Box J proceeds - cost + wash = broker gain/(loss)</t>
  </si>
  <si>
    <t xml:space="preserve">Summary!G60</t>
  </si>
  <si>
    <t xml:space="preserve">OVERALL STATUS</t>
  </si>
  <si>
    <t xml:space="preserve">Color legend</t>
  </si>
  <si>
    <t xml:space="preserve">Blue text = keyed from the 1099 (source page noted)</t>
  </si>
  <si>
    <t xml:space="preserve">Black text = formula</t>
  </si>
  <si>
    <t xml:space="preserve">Green text = link to another tab</t>
  </si>
  <si>
    <t xml:space="preserve">Green fill = check cell (must be 0.00)</t>
  </si>
  <si>
    <t xml:space="preserve">Orange fill = noncovered / unknown term / enter individually</t>
  </si>
  <si>
    <t xml:space="preserve">Yellow fill = client must supply</t>
  </si>
  <si>
    <t xml:space="preserve">1099-B Lots - Sample Client - 2025 Example Brokerage</t>
  </si>
  <si>
    <t xml:space="preserve">Blue = keyed from the 1099 (page in Src page column). Black = formula. Calc gain = proceeds - cost + wash; Diff = calc - broker (must be 0).</t>
  </si>
  <si>
    <t xml:space="preserve">Ord</t>
  </si>
  <si>
    <t xml:space="preserve">Proceeds (d)</t>
  </si>
  <si>
    <t xml:space="preserve">Cost basis (e)</t>
  </si>
  <si>
    <t xml:space="preserve">Market discount</t>
  </si>
  <si>
    <t xml:space="preserve">Wash sale (g)</t>
  </si>
  <si>
    <t xml:space="preserve">Broker gain/(loss)</t>
  </si>
  <si>
    <t xml:space="preserve">Calc gain/(loss)</t>
  </si>
  <si>
    <t xml:space="preserve">Diff</t>
  </si>
  <si>
    <t xml:space="preserve">Notes</t>
  </si>
  <si>
    <t xml:space="preserve">Src page</t>
  </si>
  <si>
    <t xml:space="preserve">ST</t>
  </si>
  <si>
    <t xml:space="preserve">N</t>
  </si>
  <si>
    <t xml:space="preserve">5678</t>
  </si>
  <si>
    <t xml:space="preserve">SPDR S&amp;P 500 ETF TRUST</t>
  </si>
  <si>
    <t xml:space="preserve">78462F103</t>
  </si>
  <si>
    <t xml:space="preserve">Aggregated lots</t>
  </si>
  <si>
    <t xml:space="preserve">Y</t>
  </si>
  <si>
    <t xml:space="preserve">US TREASURY BILL 0% 08/14/25</t>
  </si>
  <si>
    <t xml:space="preserve">912797KX4</t>
  </si>
  <si>
    <t xml:space="preserve">Ordinary: discount</t>
  </si>
  <si>
    <t xml:space="preserve">B</t>
  </si>
  <si>
    <t xml:space="preserve">ABC CORP CVR</t>
  </si>
  <si>
    <t xml:space="preserve">000360206</t>
  </si>
  <si>
    <t xml:space="preserve">CVR</t>
  </si>
  <si>
    <t xml:space="preserve">GENERAL ELECTRIC CO</t>
  </si>
  <si>
    <t xml:space="preserve">369604301</t>
  </si>
  <si>
    <t xml:space="preserve">VARIOUS</t>
  </si>
  <si>
    <t xml:space="preserve">N/A</t>
  </si>
  <si>
    <t xml:space="preserve">Noncovered</t>
  </si>
  <si>
    <t xml:space="preserve">LT</t>
  </si>
  <si>
    <t xml:space="preserve">MICROSOFT CORP</t>
  </si>
  <si>
    <t xml:space="preserve">594918104</t>
  </si>
  <si>
    <t xml:space="preserve">VANGUARD TOTAL BOND MARKET ETF</t>
  </si>
  <si>
    <t xml:space="preserve">921937835</t>
  </si>
  <si>
    <t xml:space="preserve">E</t>
  </si>
  <si>
    <t xml:space="preserve">COCA COLA CO</t>
  </si>
  <si>
    <t xml:space="preserve">191216100</t>
  </si>
  <si>
    <t xml:space="preserve">Original basis: 1,500.00</t>
  </si>
  <si>
    <t xml:space="preserve">X</t>
  </si>
  <si>
    <t xml:space="preserve">UNKNOWN</t>
  </si>
  <si>
    <t xml:space="preserve">OLD MUTUAL FUND</t>
  </si>
  <si>
    <t xml:space="preserve">001234AB9</t>
  </si>
  <si>
    <t xml:space="preserve">Term unknown</t>
  </si>
  <si>
    <t xml:space="preserve">Per-lot check: sum of |Diff| (must be 0)</t>
  </si>
  <si>
    <t xml:space="preserve">Totals by 8949 box (sum of lots)</t>
  </si>
  <si>
    <t xml:space="preserve">Description</t>
  </si>
  <si>
    <t xml:space="preserve">Short-term, basis reported to IRS</t>
  </si>
  <si>
    <t xml:space="preserve">Short-term, basis NOT reported</t>
  </si>
  <si>
    <t xml:space="preserve">Long-term, basis reported to IRS</t>
  </si>
  <si>
    <t xml:space="preserve">Long-term, basis NOT reported</t>
  </si>
  <si>
    <t xml:space="preserve">Unknown term (term and basis from client)</t>
  </si>
  <si>
    <t xml:space="preserve">Broker 1099-B summary totals (keyed from the summary page)</t>
  </si>
  <si>
    <t xml:space="preserve">Source</t>
  </si>
  <si>
    <t xml:space="preserve">1099-B summary p.3</t>
  </si>
  <si>
    <t xml:space="preserve">Diff: sum of lots - broker summary (must be 0)</t>
  </si>
  <si>
    <t xml:space="preserve">Wash sale</t>
  </si>
  <si>
    <t xml:space="preserve">Gain/(loss)</t>
  </si>
  <si>
    <t xml:space="preserve">Form 8949 entry lines - basis reported (linked to Summary)</t>
  </si>
  <si>
    <t xml:space="preserve">Line</t>
  </si>
  <si>
    <t xml:space="preserve">Gain/(loss) (h)</t>
  </si>
  <si>
    <t xml:space="preserve">Short-term (Box A)</t>
  </si>
  <si>
    <t xml:space="preserve">Short-term - Ordinary (Box A)</t>
  </si>
  <si>
    <t xml:space="preserve">Long-term (Box D)</t>
  </si>
  <si>
    <t xml:space="preserve">By Security - Sample Client - 2025</t>
  </si>
  <si>
    <t xml:space="preserve">All figures are SUMPRODUCTs of the 1099-B Lots tab, matched on CUSIP (or description when no CUSIP).</t>
  </si>
  <si>
    <t xml:space="preserve">Basis</t>
  </si>
  <si>
    <t xml:space="preserve">Net (broker gain/(loss))</t>
  </si>
  <si>
    <t xml:space="preserve">Net (calc)</t>
  </si>
  <si>
    <t xml:space="preserve">1099-B Lots total (link)</t>
  </si>
  <si>
    <t xml:space="preserve">Wash Sales - Sample Client - 2025</t>
  </si>
  <si>
    <t xml:space="preserve">Every lot with a non-zero 1099-B box 1g (keyed off the amount, not the W code). Green = linked to the lot tab.</t>
  </si>
  <si>
    <t xml:space="preserve">Disallowed (g)</t>
  </si>
  <si>
    <t xml:space="preserve">Later sales of this security through 11/28/2025 with no wash on the final sale: position likely closed and deferred loss realized this year (confirm no shares at 12/31).</t>
  </si>
  <si>
    <t xml:space="preserve">Disallowed amount exceeds this line's pre-adjustment loss: broker aggregated several lots; reported as the broker computed. Later sales of this security through 06/02/2025 with no wash on the final sale: position likely closed and deferred loss realized this year (confirm no shares at 12/31).</t>
  </si>
  <si>
    <t xml:space="preserve">Wash total on lot tab(s) (link)</t>
  </si>
  <si>
    <t xml:space="preserve">Diff: Wash Sales tab - lot tab(s) (must be 0)</t>
  </si>
  <si>
    <t xml:space="preserve">Wash sales by security</t>
  </si>
  <si>
    <t xml:space="preserve">Wash sale totals by box: detail vs broker (must be 0)</t>
  </si>
  <si>
    <t xml:space="preserve">Lot tab wash (link)</t>
  </si>
  <si>
    <t xml:space="preserve">Broker wash total (link)</t>
  </si>
  <si>
    <t xml:space="preserve">Wash Sales detail</t>
  </si>
  <si>
    <t xml:space="preserve">Diff vs broker</t>
  </si>
  <si>
    <t xml:space="preserve">Diff vs lot tab</t>
  </si>
  <si>
    <t xml:space="preserve">Digital asset short-term, basis reported</t>
  </si>
  <si>
    <t xml:space="preserve">H</t>
  </si>
  <si>
    <t xml:space="preserve">Digital asset short-term, basis NOT reported</t>
  </si>
  <si>
    <t xml:space="preserve">Digital asset long-term, basis reported</t>
  </si>
  <si>
    <t xml:space="preserve">-</t>
  </si>
  <si>
    <t xml:space="preserve">Reported-basis boxes (A/D/G/J) are entered as one summary line per term with code W and the disallowed amount in column (g). Not-reported boxes are entered lot by lot.</t>
  </si>
  <si>
    <t xml:space="preserve">The broker tracks only same-account, identical-CUSIP wash sales. Ask about IRAs (loss permanently disallowed), spouse's accounts, other brokers and options.</t>
  </si>
  <si>
    <t xml:space="preserve">Lines where the disallowed amount exceeds the line's own loss reflect broker aggregation of several lots; they are reported as the broker computed.</t>
  </si>
  <si>
    <t xml:space="preserve">Digital assets that are not securities are not subject to the wash sale rule (confirm no law change for the year). Spot crypto ETFs/trusts are securities.</t>
  </si>
  <si>
    <t xml:space="preserve">Noncovered / Unknown-Term Lots - ENTER EACH LOT INDIVIDUALLY - Sample Client 2025</t>
  </si>
  <si>
    <t xml:space="preserve">Green = linked to the lot tab. YELLOW = client must supply (example: date acquired 03/15/2019, term LT, basis 1,250.00). Basis to use = client basis if entered, else the 1099 basis.</t>
  </si>
  <si>
    <t xml:space="preserve">Date acquired (1099)</t>
  </si>
  <si>
    <t xml:space="preserve">CLIENT date acquired</t>
  </si>
  <si>
    <t xml:space="preserve">CLIENT term (ST/LT)</t>
  </si>
  <si>
    <t xml:space="preserve">CLIENT basis</t>
  </si>
  <si>
    <t xml:space="preserve">Basis to use</t>
  </si>
  <si>
    <t xml:space="preserve">What's missing</t>
  </si>
  <si>
    <t xml:space="preserve">verify basis with client</t>
  </si>
  <si>
    <t xml:space="preserve">Box totals vs broker summary (tie-out only - not keyed as a summary line)</t>
  </si>
  <si>
    <t xml:space="preserve">Broker proceeds (link)</t>
  </si>
  <si>
    <t xml:space="preserve">Broker wash (link)</t>
  </si>
  <si>
    <t xml:space="preserve">Diff proceeds</t>
  </si>
  <si>
    <t xml:space="preserve">Diff wash</t>
  </si>
  <si>
    <t xml:space="preserve">Crypto 1099-DA Lots - Sample Client - 2025 Example Brokerage</t>
  </si>
  <si>
    <t xml:space="preserve">BITCOIN</t>
  </si>
  <si>
    <t xml:space="preserve">BTC</t>
  </si>
  <si>
    <t xml:space="preserve">ETHEREUM</t>
  </si>
  <si>
    <t xml:space="preserve">ETH</t>
  </si>
  <si>
    <t xml:space="preserve">Noncovered digital asset</t>
  </si>
  <si>
    <t xml:space="preserve">1099-B summary p.19</t>
  </si>
  <si>
    <t xml:space="preserve">Digital asset short-term (Box G)</t>
  </si>
  <si>
    <t xml:space="preserve">Digital asset long-term (Box J)</t>
  </si>
  <si>
    <t xml:space="preserve">Subtotals by asset</t>
  </si>
  <si>
    <t xml:space="preserve">Asset</t>
  </si>
  <si>
    <t xml:space="preserve">CUSIP/ID</t>
  </si>
  <si>
    <t xml:space="preserve">Income Detail - Sample Client - 2025 Example Brokerage</t>
  </si>
  <si>
    <t xml:space="preserve">Payment-level 1099-DIV/INT/OID/MISC lines (blue = keyed). Box totals are SUMPRODUCTs of the lines; Diff vs the 1099 box amount must be 0.</t>
  </si>
  <si>
    <t xml:space="preserve">Form</t>
  </si>
  <si>
    <t xml:space="preserve">Payer / security</t>
  </si>
  <si>
    <t xml:space="preserve">Pay date</t>
  </si>
  <si>
    <t xml:space="preserve">DIV</t>
  </si>
  <si>
    <t xml:space="preserve">1a</t>
  </si>
  <si>
    <t xml:space="preserve">1b</t>
  </si>
  <si>
    <t xml:space="preserve">2a</t>
  </si>
  <si>
    <t xml:space="preserve">7</t>
  </si>
  <si>
    <t xml:space="preserve">INT</t>
  </si>
  <si>
    <t xml:space="preserve">1</t>
  </si>
  <si>
    <t xml:space="preserve">Cash sweep interest</t>
  </si>
  <si>
    <t xml:space="preserve">3</t>
  </si>
  <si>
    <t xml:space="preserve">US Treasury note interest</t>
  </si>
  <si>
    <t xml:space="preserve">OID</t>
  </si>
  <si>
    <t xml:space="preserve">8</t>
  </si>
  <si>
    <t xml:space="preserve">Per 1099 summary page (no payment-level detail)</t>
  </si>
  <si>
    <t xml:space="preserve">MISC</t>
  </si>
  <si>
    <t xml:space="preserve">Substitute payment - MICROSOFT</t>
  </si>
  <si>
    <t xml:space="preserve">Totals by box: detail vs 1099 box amount (Diff must be 0)</t>
  </si>
  <si>
    <t xml:space="preserve">Detail total</t>
  </si>
  <si>
    <t xml:space="preserve">1099 box amount</t>
  </si>
  <si>
    <t xml:space="preserve">Supplemental / non-reportable items and Section 1256</t>
  </si>
  <si>
    <t xml:space="preserve">Category</t>
  </si>
  <si>
    <t xml:space="preserve">margin_interest</t>
  </si>
  <si>
    <t xml:space="preserve">adr_fee</t>
  </si>
  <si>
    <t xml:space="preserve">ADR custody fees</t>
  </si>
  <si>
    <t xml:space="preserve">section_1256</t>
  </si>
  <si>
    <t xml:space="preserve">Aggregate profit/(loss) on contracts (box 11)</t>
  </si>
  <si>
    <t xml:space="preserve">State: U.S. Treasury / direct federal obligation subtraction</t>
  </si>
  <si>
    <t xml:space="preserve">% from 1099</t>
  </si>
  <si>
    <t xml:space="preserve">Fund ordinary dividends</t>
  </si>
  <si>
    <t xml:space="preserve">State subtraction</t>
  </si>
  <si>
    <t xml:space="preserve">1099-INT box 3 (Treasury interest)</t>
  </si>
  <si>
    <t xml:space="preserve">1099-OID box 8 (Treasury OID)</t>
  </si>
  <si>
    <t xml:space="preserve">Total state subtraction</t>
  </si>
  <si>
    <t xml:space="preserve">Flags &amp; Questions - Sample Client - 2025</t>
  </si>
  <si>
    <t xml:space="preserve">Amounts are computed by the program from the 1099 data. Update Status as items are resolved.</t>
  </si>
  <si>
    <t xml:space="preserve">#</t>
  </si>
  <si>
    <t xml:space="preserve">Issue / question</t>
  </si>
  <si>
    <t xml:space="preserve">Wash sales</t>
  </si>
  <si>
    <t xml:space="preserve">Broker tracks only same-account, identical-CUSIP wash sales. Ask about purchases in IRAs (loss permanently disallowed), spouse's accounts, other brokers and options on the same securities.</t>
  </si>
  <si>
    <t xml:space="preserve">Open</t>
  </si>
  <si>
    <t xml:space="preserve">1 wash line(s) have a disallowed amount larger than the line's own loss (broker aggregation). Reported as the broker computed.</t>
  </si>
  <si>
    <t xml:space="preserve">Unknown term</t>
  </si>
  <si>
    <t xml:space="preserve">1 unknown-term lot(s): holding period AND basis must come from the client before entry.</t>
  </si>
  <si>
    <t xml:space="preserve">Noncovered basis</t>
  </si>
  <si>
    <t xml:space="preserve">Box B: 1 lot(s) with no basis on the 1099; client must supply basis and date acquired.</t>
  </si>
  <si>
    <t xml:space="preserve">Box B: 2 lot(s) basis not reported to IRS: enter each lot individually and verify basis with the client.</t>
  </si>
  <si>
    <t xml:space="preserve">Box E: 1 lot(s) basis not reported to IRS: enter each lot individually and verify basis with the client.</t>
  </si>
  <si>
    <t xml:space="preserve">Box H: 1 lot(s) with no basis on the 1099; client must supply basis and date acquired.</t>
  </si>
  <si>
    <t xml:space="preserve">Box H: 1 lot(s) basis not reported to IRS: enter each lot individually and verify basis with the client.</t>
  </si>
  <si>
    <t xml:space="preserve">Digital assets</t>
  </si>
  <si>
    <t xml:space="preserve">Noncovered 1099-DA lots (Box H/K): basis comes from broker records only; request support.</t>
  </si>
  <si>
    <t xml:space="preserve">Digital asset transactions present: answer YES to the Form 1040 digital asset question.</t>
  </si>
  <si>
    <t xml:space="preserve">Zero basis</t>
  </si>
  <si>
    <t xml:space="preserve">ABC CORP CVR: CVR with zero/no basis; confirm basis allocation with the client.</t>
  </si>
  <si>
    <t xml:space="preserve">Substitute payments</t>
  </si>
  <si>
    <t xml:space="preserve">1099-MISC box 8 substitute payments are ordinary income, not qualified dividends.</t>
  </si>
  <si>
    <t xml:space="preserve">Holding-period screen: lots held 60 days or less straddle qualified dividend payments (APPLE INC, SPDR S&amp;P 500 ETF TRUST). Ex-date is not on the 1099; ask whether other shares were held through year-end.</t>
  </si>
  <si>
    <t xml:space="preserve">Section 1256</t>
  </si>
  <si>
    <t xml:space="preserve">Section 1256 aggregate profit/(loss) goes to Form 6781 (60/40), not Form 8949.</t>
  </si>
  <si>
    <t xml:space="preserve">Margin interest</t>
  </si>
  <si>
    <t xml:space="preserve">Margin interest goes to Form 4952: check net investment income and ask whether the client elects to treat qualified dividends/gains as investment income.</t>
  </si>
  <si>
    <t xml:space="preserve">Fees</t>
  </si>
  <si>
    <t xml:space="preserve">ADR and other investment fees are not deductible.</t>
  </si>
  <si>
    <t xml:space="preserve">U.S. Treasury / direct federal obligation interest is a state subtraction in most states (including Colorado).</t>
  </si>
  <si>
    <t xml:space="preserve">Completeness</t>
  </si>
  <si>
    <t xml:space="preserve">Confirm there are no separate joint, retirement or other-broker 1099s for this client.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</si>
</sst>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#,##0.00_);\(#,##0.00\);\-_)"/>
    <numFmt numFmtId="167" formatCode="#,##0.00_);\(#,##0.00\);0.00_)"/>
    <numFmt numFmtId="168" formatCode="0"/>
    <numFmt numFmtId="169" formatCode="#,##0.0000_);\(#,##0.0000\)"/>
    <numFmt numFmtId="170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  <fill>
      <patternFill patternType="solid">
        <fgColor rgb="FFF8CBAD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EA9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D9E1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5" t="n">
        <v>46067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4" t="s">
        <v>16</v>
      </c>
    </row>
    <row r="13" customFormat="false" ht="15" hidden="false" customHeight="false" outlineLevel="0" collapsed="false">
      <c r="A13" s="6" t="s">
        <v>17</v>
      </c>
      <c r="B13" s="7" t="s">
        <v>18</v>
      </c>
      <c r="D13" s="7" t="s">
        <v>19</v>
      </c>
      <c r="F13" s="7" t="s">
        <v>20</v>
      </c>
    </row>
    <row r="14" customFormat="false" ht="15" hidden="false" customHeight="false" outlineLevel="0" collapsed="false">
      <c r="A14" s="4" t="s">
        <v>21</v>
      </c>
      <c r="B14" s="4" t="s">
        <v>22</v>
      </c>
      <c r="D14" s="4" t="s">
        <v>23</v>
      </c>
      <c r="F14" s="4" t="s">
        <v>24</v>
      </c>
    </row>
    <row r="15" customFormat="false" ht="15" hidden="false" customHeight="false" outlineLevel="0" collapsed="false">
      <c r="A15" s="4" t="s">
        <v>25</v>
      </c>
      <c r="B15" s="4" t="s">
        <v>26</v>
      </c>
      <c r="D15" s="4" t="s">
        <v>27</v>
      </c>
      <c r="F15" s="4" t="s">
        <v>28</v>
      </c>
    </row>
    <row r="17" customFormat="false" ht="15" hidden="false" customHeight="false" outlineLevel="0" collapsed="false">
      <c r="A17" s="8" t="s">
        <v>29</v>
      </c>
      <c r="B17" s="9"/>
      <c r="C17" s="9"/>
      <c r="D17" s="9"/>
      <c r="E17" s="9"/>
      <c r="F17" s="9"/>
      <c r="G17" s="9"/>
      <c r="H17" s="9"/>
      <c r="I17" s="9"/>
    </row>
    <row r="18" customFormat="false" ht="15" hidden="false" customHeight="false" outlineLevel="0" collapsed="false">
      <c r="A18" s="6" t="s">
        <v>30</v>
      </c>
      <c r="B18" s="7" t="s">
        <v>31</v>
      </c>
      <c r="C18" s="7" t="s">
        <v>32</v>
      </c>
      <c r="D18" s="7" t="s">
        <v>33</v>
      </c>
      <c r="E18" s="7" t="s">
        <v>34</v>
      </c>
      <c r="F18" s="7" t="s">
        <v>35</v>
      </c>
      <c r="G18" s="7" t="s">
        <v>36</v>
      </c>
      <c r="H18" s="7" t="s">
        <v>18</v>
      </c>
      <c r="I18" s="7" t="s">
        <v>37</v>
      </c>
    </row>
    <row r="19" customFormat="false" ht="15" hidden="false" customHeight="false" outlineLevel="0" collapsed="false">
      <c r="A19" s="10" t="s">
        <v>38</v>
      </c>
      <c r="B19" s="10" t="s">
        <v>39</v>
      </c>
      <c r="C19" s="11" t="n">
        <f aca="false">'1099-B Lots'!I48</f>
        <v>31200</v>
      </c>
      <c r="D19" s="11" t="n">
        <f aca="false">'1099-B Lots'!J48</f>
        <v>32500</v>
      </c>
      <c r="E19" s="12" t="str">
        <f aca="false">IF(F19&lt;&gt;0,"W","")</f>
        <v>W</v>
      </c>
      <c r="F19" s="11" t="n">
        <f aca="false">'1099-B Lots'!L48</f>
        <v>850</v>
      </c>
      <c r="G19" s="12" t="n">
        <f aca="false">C19-D19+F19</f>
        <v>-450</v>
      </c>
      <c r="H19" s="4" t="s">
        <v>22</v>
      </c>
    </row>
    <row r="20" customFormat="false" ht="15" hidden="false" customHeight="false" outlineLevel="0" collapsed="false">
      <c r="A20" s="10" t="s">
        <v>40</v>
      </c>
      <c r="B20" s="10" t="s">
        <v>39</v>
      </c>
      <c r="C20" s="11" t="n">
        <f aca="false">'1099-B Lots'!I49</f>
        <v>10000</v>
      </c>
      <c r="D20" s="11" t="n">
        <f aca="false">'1099-B Lots'!J49</f>
        <v>9790</v>
      </c>
      <c r="E20" s="12" t="str">
        <f aca="false">IF(F20&lt;&gt;0,"W","")</f>
        <v/>
      </c>
      <c r="F20" s="11" t="n">
        <f aca="false">'1099-B Lots'!L49</f>
        <v>0</v>
      </c>
      <c r="G20" s="12" t="n">
        <f aca="false">C20-D20+F20</f>
        <v>210</v>
      </c>
      <c r="H20" s="4" t="s">
        <v>22</v>
      </c>
    </row>
    <row r="21" customFormat="false" ht="15" hidden="false" customHeight="false" outlineLevel="0" collapsed="false">
      <c r="A21" s="10" t="s">
        <v>41</v>
      </c>
      <c r="B21" s="10" t="s">
        <v>42</v>
      </c>
      <c r="C21" s="11" t="n">
        <f aca="false">'1099-B Lots'!I50</f>
        <v>27400</v>
      </c>
      <c r="D21" s="11" t="n">
        <f aca="false">'1099-B Lots'!J50</f>
        <v>13550</v>
      </c>
      <c r="E21" s="12" t="str">
        <f aca="false">IF(F21&lt;&gt;0,"W","")</f>
        <v/>
      </c>
      <c r="F21" s="11" t="n">
        <f aca="false">'1099-B Lots'!L50</f>
        <v>0</v>
      </c>
      <c r="G21" s="12" t="n">
        <f aca="false">C21-D21+F21</f>
        <v>13850</v>
      </c>
      <c r="H21" s="4" t="s">
        <v>22</v>
      </c>
    </row>
    <row r="22" customFormat="false" ht="15" hidden="false" customHeight="false" outlineLevel="0" collapsed="false">
      <c r="A22" s="10" t="s">
        <v>43</v>
      </c>
      <c r="B22" s="10" t="s">
        <v>44</v>
      </c>
      <c r="C22" s="11" t="n">
        <f aca="false">'Crypto 1099-DA'!I31</f>
        <v>5500</v>
      </c>
      <c r="D22" s="11" t="n">
        <f aca="false">'Crypto 1099-DA'!J31</f>
        <v>4100</v>
      </c>
      <c r="E22" s="12" t="str">
        <f aca="false">IF(F22&lt;&gt;0,"W","")</f>
        <v/>
      </c>
      <c r="F22" s="11" t="n">
        <f aca="false">'Crypto 1099-DA'!L31</f>
        <v>0</v>
      </c>
      <c r="G22" s="12" t="n">
        <f aca="false">C22-D22+F22</f>
        <v>1400</v>
      </c>
      <c r="H22" s="4" t="s">
        <v>26</v>
      </c>
    </row>
    <row r="23" customFormat="false" ht="15" hidden="false" customHeight="false" outlineLevel="0" collapsed="false">
      <c r="A23" s="10" t="s">
        <v>45</v>
      </c>
      <c r="B23" s="10" t="s">
        <v>46</v>
      </c>
      <c r="C23" s="11" t="n">
        <f aca="false">'Crypto 1099-DA'!I32</f>
        <v>0</v>
      </c>
      <c r="D23" s="11" t="n">
        <f aca="false">'Crypto 1099-DA'!J32</f>
        <v>0</v>
      </c>
      <c r="E23" s="12" t="str">
        <f aca="false">IF(F23&lt;&gt;0,"W","")</f>
        <v/>
      </c>
      <c r="F23" s="11" t="n">
        <f aca="false">'Crypto 1099-DA'!L32</f>
        <v>0</v>
      </c>
      <c r="G23" s="12" t="n">
        <f aca="false">C23-D23+F23</f>
        <v>0</v>
      </c>
      <c r="H23" s="4" t="s">
        <v>26</v>
      </c>
      <c r="I23" s="13" t="s">
        <v>47</v>
      </c>
    </row>
    <row r="25" customFormat="false" ht="15" hidden="false" customHeight="false" outlineLevel="0" collapsed="false">
      <c r="A25" s="8" t="s">
        <v>48</v>
      </c>
      <c r="B25" s="9"/>
      <c r="C25" s="9"/>
      <c r="D25" s="9"/>
      <c r="E25" s="9"/>
      <c r="F25" s="9"/>
      <c r="G25" s="9"/>
      <c r="H25" s="9"/>
      <c r="I25" s="9"/>
    </row>
    <row r="26" customFormat="false" ht="15" hidden="false" customHeight="false" outlineLevel="0" collapsed="false">
      <c r="A26" s="3" t="s">
        <v>49</v>
      </c>
    </row>
    <row r="27" customFormat="false" ht="15" hidden="false" customHeight="false" outlineLevel="0" collapsed="false">
      <c r="A27" s="10" t="s">
        <v>50</v>
      </c>
      <c r="G27" s="12" t="n">
        <f aca="false">(C19-D19)+(C20-D20)</f>
        <v>-1090</v>
      </c>
    </row>
    <row r="28" customFormat="false" ht="15" hidden="false" customHeight="false" outlineLevel="0" collapsed="false">
      <c r="A28" s="10" t="s">
        <v>51</v>
      </c>
      <c r="G28" s="11" t="n">
        <f aca="false">'Wash Sales'!H18</f>
        <v>850</v>
      </c>
    </row>
    <row r="29" customFormat="false" ht="15" hidden="false" customHeight="false" outlineLevel="0" collapsed="false">
      <c r="A29" s="3" t="s">
        <v>52</v>
      </c>
      <c r="G29" s="14" t="n">
        <f aca="false">G27+G28</f>
        <v>-240</v>
      </c>
    </row>
    <row r="30" customFormat="false" ht="15" hidden="false" customHeight="false" outlineLevel="0" collapsed="false">
      <c r="A30" s="10" t="s">
        <v>53</v>
      </c>
      <c r="G30" s="15" t="n">
        <v>-240</v>
      </c>
    </row>
    <row r="31" customFormat="false" ht="15" hidden="false" customHeight="false" outlineLevel="0" collapsed="false">
      <c r="A31" s="3" t="s">
        <v>54</v>
      </c>
      <c r="G31" s="16" t="n">
        <f aca="false">ROUND(G29-N(G30),2)</f>
        <v>0</v>
      </c>
    </row>
    <row r="32" customFormat="false" ht="15" hidden="false" customHeight="false" outlineLevel="0" collapsed="false">
      <c r="A32" s="6" t="s">
        <v>55</v>
      </c>
      <c r="B32" s="7" t="s">
        <v>56</v>
      </c>
      <c r="F32" s="7" t="s">
        <v>57</v>
      </c>
      <c r="G32" s="7" t="s">
        <v>58</v>
      </c>
    </row>
    <row r="33" customFormat="false" ht="15" hidden="false" customHeight="false" outlineLevel="0" collapsed="false">
      <c r="A33" s="10" t="s">
        <v>59</v>
      </c>
      <c r="B33" s="10" t="s">
        <v>60</v>
      </c>
      <c r="F33" s="17" t="n">
        <f aca="false">'Wash Sales'!D13</f>
        <v>1</v>
      </c>
      <c r="G33" s="11" t="n">
        <f aca="false">'Wash Sales'!H13</f>
        <v>500</v>
      </c>
    </row>
    <row r="34" customFormat="false" ht="15" hidden="false" customHeight="false" outlineLevel="0" collapsed="false">
      <c r="A34" s="10" t="s">
        <v>61</v>
      </c>
      <c r="B34" s="10" t="s">
        <v>62</v>
      </c>
      <c r="F34" s="17" t="n">
        <f aca="false">'Wash Sales'!D14</f>
        <v>1</v>
      </c>
      <c r="G34" s="11" t="n">
        <f aca="false">'Wash Sales'!H14</f>
        <v>350</v>
      </c>
    </row>
    <row r="35" customFormat="false" ht="15" hidden="false" customHeight="false" outlineLevel="0" collapsed="false">
      <c r="A35" s="3" t="s">
        <v>63</v>
      </c>
      <c r="F35" s="18" t="n">
        <f aca="false">SUM(F33:F34)</f>
        <v>2</v>
      </c>
      <c r="G35" s="14" t="n">
        <f aca="false">SUM(G33:G34)</f>
        <v>850</v>
      </c>
    </row>
    <row r="36" customFormat="false" ht="15" hidden="false" customHeight="false" outlineLevel="0" collapsed="false">
      <c r="A36" s="10" t="s">
        <v>64</v>
      </c>
      <c r="G36" s="11" t="n">
        <f aca="false">N('1099-B Lots'!L32)</f>
        <v>850</v>
      </c>
    </row>
    <row r="37" customFormat="false" ht="15" hidden="false" customHeight="false" outlineLevel="0" collapsed="false">
      <c r="A37" s="3" t="s">
        <v>54</v>
      </c>
      <c r="G37" s="16" t="n">
        <f aca="false">ROUND(G35-G36,2)</f>
        <v>0</v>
      </c>
    </row>
    <row r="39" customFormat="false" ht="15" hidden="false" customHeight="false" outlineLevel="0" collapsed="false">
      <c r="A39" s="3" t="s">
        <v>65</v>
      </c>
    </row>
    <row r="40" customFormat="false" ht="15" hidden="false" customHeight="false" outlineLevel="0" collapsed="false">
      <c r="A40" s="10" t="s">
        <v>50</v>
      </c>
      <c r="G40" s="12" t="n">
        <f aca="false">(C21-D21)</f>
        <v>13850</v>
      </c>
    </row>
    <row r="41" customFormat="false" ht="15" hidden="false" customHeight="false" outlineLevel="0" collapsed="false">
      <c r="A41" s="10" t="s">
        <v>51</v>
      </c>
      <c r="G41" s="11" t="n">
        <f aca="false">'Wash Sales'!H20</f>
        <v>0</v>
      </c>
    </row>
    <row r="42" customFormat="false" ht="15" hidden="false" customHeight="false" outlineLevel="0" collapsed="false">
      <c r="A42" s="3" t="s">
        <v>52</v>
      </c>
      <c r="G42" s="14" t="n">
        <f aca="false">G40+G41</f>
        <v>13850</v>
      </c>
    </row>
    <row r="43" customFormat="false" ht="15" hidden="false" customHeight="false" outlineLevel="0" collapsed="false">
      <c r="A43" s="10" t="s">
        <v>53</v>
      </c>
      <c r="G43" s="15" t="n">
        <v>13850</v>
      </c>
    </row>
    <row r="44" customFormat="false" ht="15" hidden="false" customHeight="false" outlineLevel="0" collapsed="false">
      <c r="A44" s="3" t="s">
        <v>54</v>
      </c>
      <c r="G44" s="16" t="n">
        <f aca="false">ROUND(G42-N(G43),2)</f>
        <v>0</v>
      </c>
    </row>
    <row r="45" customFormat="false" ht="15" hidden="false" customHeight="false" outlineLevel="0" collapsed="false">
      <c r="A45" s="13" t="s">
        <v>66</v>
      </c>
    </row>
    <row r="47" customFormat="false" ht="15" hidden="false" customHeight="false" outlineLevel="0" collapsed="false">
      <c r="A47" s="3" t="s">
        <v>67</v>
      </c>
    </row>
    <row r="48" customFormat="false" ht="15" hidden="false" customHeight="false" outlineLevel="0" collapsed="false">
      <c r="A48" s="10" t="s">
        <v>50</v>
      </c>
      <c r="G48" s="12" t="n">
        <f aca="false">(C22-D22)</f>
        <v>1400</v>
      </c>
    </row>
    <row r="49" customFormat="false" ht="15" hidden="false" customHeight="false" outlineLevel="0" collapsed="false">
      <c r="A49" s="10" t="s">
        <v>51</v>
      </c>
      <c r="G49" s="11" t="n">
        <f aca="false">'Wash Sales'!H23</f>
        <v>0</v>
      </c>
    </row>
    <row r="50" customFormat="false" ht="15" hidden="false" customHeight="false" outlineLevel="0" collapsed="false">
      <c r="A50" s="3" t="s">
        <v>52</v>
      </c>
      <c r="G50" s="14" t="n">
        <f aca="false">G48+G49</f>
        <v>1400</v>
      </c>
    </row>
    <row r="51" customFormat="false" ht="15" hidden="false" customHeight="false" outlineLevel="0" collapsed="false">
      <c r="A51" s="10" t="s">
        <v>68</v>
      </c>
      <c r="G51" s="15" t="n">
        <v>1400</v>
      </c>
    </row>
    <row r="52" customFormat="false" ht="15" hidden="false" customHeight="false" outlineLevel="0" collapsed="false">
      <c r="A52" s="3" t="s">
        <v>54</v>
      </c>
      <c r="G52" s="16" t="n">
        <f aca="false">ROUND(G50-N(G51),2)</f>
        <v>0</v>
      </c>
    </row>
    <row r="53" customFormat="false" ht="15" hidden="false" customHeight="false" outlineLevel="0" collapsed="false">
      <c r="A53" s="13" t="s">
        <v>69</v>
      </c>
    </row>
    <row r="55" customFormat="false" ht="15" hidden="false" customHeight="false" outlineLevel="0" collapsed="false">
      <c r="A55" s="3" t="s">
        <v>70</v>
      </c>
    </row>
    <row r="56" customFormat="false" ht="15" hidden="false" customHeight="false" outlineLevel="0" collapsed="false">
      <c r="A56" s="10" t="s">
        <v>50</v>
      </c>
      <c r="G56" s="12" t="n">
        <f aca="false">(C23-D23)</f>
        <v>0</v>
      </c>
    </row>
    <row r="57" customFormat="false" ht="15" hidden="false" customHeight="false" outlineLevel="0" collapsed="false">
      <c r="A57" s="10" t="s">
        <v>51</v>
      </c>
      <c r="G57" s="11" t="n">
        <f aca="false">'Wash Sales'!H25</f>
        <v>0</v>
      </c>
    </row>
    <row r="58" customFormat="false" ht="15" hidden="false" customHeight="false" outlineLevel="0" collapsed="false">
      <c r="A58" s="3" t="s">
        <v>52</v>
      </c>
      <c r="G58" s="14" t="n">
        <f aca="false">G56+G57</f>
        <v>0</v>
      </c>
    </row>
    <row r="59" customFormat="false" ht="15" hidden="false" customHeight="false" outlineLevel="0" collapsed="false">
      <c r="A59" s="10" t="s">
        <v>71</v>
      </c>
      <c r="G59" s="15" t="n">
        <v>0</v>
      </c>
      <c r="I59" s="13" t="s">
        <v>47</v>
      </c>
    </row>
    <row r="60" customFormat="false" ht="15" hidden="false" customHeight="false" outlineLevel="0" collapsed="false">
      <c r="A60" s="3" t="s">
        <v>54</v>
      </c>
      <c r="G60" s="16" t="n">
        <f aca="false">ROUND(G58-N(G59),2)</f>
        <v>0</v>
      </c>
    </row>
    <row r="61" customFormat="false" ht="15" hidden="false" customHeight="false" outlineLevel="0" collapsed="false">
      <c r="A61" s="13" t="s">
        <v>72</v>
      </c>
    </row>
    <row r="63" customFormat="false" ht="15" hidden="false" customHeight="false" outlineLevel="0" collapsed="false">
      <c r="A63" s="19" t="s">
        <v>73</v>
      </c>
      <c r="B63" s="20"/>
      <c r="C63" s="20"/>
      <c r="D63" s="20"/>
      <c r="E63" s="20"/>
      <c r="F63" s="20"/>
      <c r="G63" s="20"/>
      <c r="H63" s="20"/>
      <c r="I63" s="20"/>
    </row>
    <row r="64" customFormat="false" ht="15" hidden="false" customHeight="false" outlineLevel="0" collapsed="false">
      <c r="A64" s="21" t="s">
        <v>74</v>
      </c>
      <c r="C64" s="22" t="s">
        <v>75</v>
      </c>
      <c r="D64" s="22" t="s">
        <v>76</v>
      </c>
      <c r="E64" s="22" t="s">
        <v>77</v>
      </c>
      <c r="H64" s="22" t="s">
        <v>78</v>
      </c>
      <c r="I64" s="22" t="s">
        <v>37</v>
      </c>
    </row>
    <row r="65" customFormat="false" ht="15" hidden="false" customHeight="false" outlineLevel="0" collapsed="false">
      <c r="A65" s="23" t="s">
        <v>79</v>
      </c>
      <c r="C65" s="11" t="n">
        <f aca="false">'1099-B Lots'!I24</f>
        <v>4165</v>
      </c>
      <c r="D65" s="11" t="n">
        <f aca="false">'1099-B Lots'!J24</f>
        <v>0</v>
      </c>
      <c r="E65" s="17" t="n">
        <f aca="false">'1099-B Lots'!F24</f>
        <v>2</v>
      </c>
      <c r="H65" s="10" t="s">
        <v>80</v>
      </c>
      <c r="I65" s="24" t="s">
        <v>81</v>
      </c>
    </row>
    <row r="66" customFormat="false" ht="15" hidden="false" customHeight="false" outlineLevel="0" collapsed="false">
      <c r="A66" s="23" t="s">
        <v>82</v>
      </c>
      <c r="C66" s="11" t="n">
        <f aca="false">'1099-B Lots'!I26</f>
        <v>4200</v>
      </c>
      <c r="D66" s="11" t="n">
        <f aca="false">'1099-B Lots'!J26</f>
        <v>1500</v>
      </c>
      <c r="E66" s="17" t="n">
        <f aca="false">'1099-B Lots'!F26</f>
        <v>1</v>
      </c>
      <c r="H66" s="10" t="s">
        <v>80</v>
      </c>
      <c r="I66" s="24"/>
    </row>
    <row r="67" customFormat="false" ht="15" hidden="false" customHeight="false" outlineLevel="0" collapsed="false">
      <c r="A67" s="23" t="s">
        <v>83</v>
      </c>
      <c r="C67" s="11" t="n">
        <f aca="false">'1099-B Lots'!I27</f>
        <v>2600</v>
      </c>
      <c r="D67" s="11" t="n">
        <f aca="false">'1099-B Lots'!J27</f>
        <v>0</v>
      </c>
      <c r="E67" s="17" t="n">
        <f aca="false">'1099-B Lots'!F27</f>
        <v>1</v>
      </c>
      <c r="H67" s="10" t="s">
        <v>80</v>
      </c>
      <c r="I67" s="24" t="s">
        <v>84</v>
      </c>
    </row>
    <row r="68" customFormat="false" ht="15" hidden="false" customHeight="false" outlineLevel="0" collapsed="false">
      <c r="A68" s="23" t="s">
        <v>85</v>
      </c>
      <c r="C68" s="11" t="n">
        <f aca="false">'Crypto 1099-DA'!I13</f>
        <v>2100</v>
      </c>
      <c r="D68" s="11" t="n">
        <f aca="false">'Crypto 1099-DA'!J13</f>
        <v>0</v>
      </c>
      <c r="E68" s="17" t="n">
        <f aca="false">'Crypto 1099-DA'!F13</f>
        <v>1</v>
      </c>
      <c r="H68" s="10" t="s">
        <v>80</v>
      </c>
      <c r="I68" s="24" t="s">
        <v>81</v>
      </c>
    </row>
    <row r="69" customFormat="false" ht="15" hidden="false" customHeight="false" outlineLevel="0" collapsed="false">
      <c r="A69" s="2" t="s">
        <v>86</v>
      </c>
    </row>
    <row r="70" customFormat="false" ht="15" hidden="false" customHeight="false" outlineLevel="0" collapsed="false">
      <c r="A70" s="21" t="s">
        <v>87</v>
      </c>
      <c r="B70" s="22" t="s">
        <v>56</v>
      </c>
      <c r="C70" s="22" t="s">
        <v>88</v>
      </c>
      <c r="D70" s="22" t="s">
        <v>89</v>
      </c>
      <c r="E70" s="22" t="s">
        <v>90</v>
      </c>
      <c r="F70" s="22" t="s">
        <v>75</v>
      </c>
      <c r="G70" s="22" t="s">
        <v>91</v>
      </c>
      <c r="H70" s="22" t="s">
        <v>74</v>
      </c>
      <c r="I70" s="22" t="s">
        <v>92</v>
      </c>
    </row>
    <row r="71" customFormat="false" ht="15" hidden="false" customHeight="false" outlineLevel="0" collapsed="false">
      <c r="A71" s="11" t="str">
        <f aca="false">T('1099-B Lots'!D13)</f>
        <v>GENERAL ELECTRIC CO</v>
      </c>
      <c r="B71" s="11" t="str">
        <f aca="false">T('1099-B Lots'!E13)</f>
        <v>369604301</v>
      </c>
      <c r="C71" s="25" t="n">
        <f aca="false">'1099-B Lots'!F13</f>
        <v>25</v>
      </c>
      <c r="D71" s="26" t="str">
        <f aca="false">'1099-B Lots'!G13</f>
        <v>VARIOUS</v>
      </c>
      <c r="E71" s="26" t="n">
        <f aca="false">'1099-B Lots'!H13</f>
        <v>45789</v>
      </c>
      <c r="F71" s="11" t="n">
        <f aca="false">'1099-B Lots'!I13</f>
        <v>4125</v>
      </c>
      <c r="G71" s="11" t="str">
        <f aca="false">'1099-B Lots'!J13</f>
        <v>N/A</v>
      </c>
      <c r="H71" s="11" t="str">
        <f aca="false">T('1099-B Lots'!A13)</f>
        <v>B</v>
      </c>
      <c r="I71" s="27" t="s">
        <v>93</v>
      </c>
    </row>
    <row r="72" customFormat="false" ht="15" hidden="false" customHeight="false" outlineLevel="0" collapsed="false">
      <c r="A72" s="11" t="str">
        <f aca="false">T('1099-B Lots'!D12)</f>
        <v>ABC CORP CVR</v>
      </c>
      <c r="B72" s="11" t="str">
        <f aca="false">T('1099-B Lots'!E12)</f>
        <v>000360206</v>
      </c>
      <c r="C72" s="25" t="n">
        <f aca="false">'1099-B Lots'!F12</f>
        <v>100</v>
      </c>
      <c r="D72" s="26" t="n">
        <f aca="false">'1099-B Lots'!G12</f>
        <v>45659</v>
      </c>
      <c r="E72" s="26" t="n">
        <f aca="false">'1099-B Lots'!H12</f>
        <v>45931</v>
      </c>
      <c r="F72" s="11" t="n">
        <f aca="false">'1099-B Lots'!I12</f>
        <v>40</v>
      </c>
      <c r="G72" s="11" t="n">
        <f aca="false">'1099-B Lots'!J12</f>
        <v>0</v>
      </c>
      <c r="H72" s="11" t="str">
        <f aca="false">T('1099-B Lots'!A12)</f>
        <v>B</v>
      </c>
      <c r="I72" s="10" t="s">
        <v>94</v>
      </c>
    </row>
    <row r="73" customFormat="false" ht="15" hidden="false" customHeight="false" outlineLevel="0" collapsed="false">
      <c r="A73" s="11" t="str">
        <f aca="false">T('1099-B Lots'!D16)</f>
        <v>COCA COLA CO</v>
      </c>
      <c r="B73" s="11" t="str">
        <f aca="false">T('1099-B Lots'!E16)</f>
        <v>191216100</v>
      </c>
      <c r="C73" s="25" t="n">
        <f aca="false">'1099-B Lots'!F16</f>
        <v>60</v>
      </c>
      <c r="D73" s="26" t="n">
        <f aca="false">'1099-B Lots'!G16</f>
        <v>39539</v>
      </c>
      <c r="E73" s="26" t="n">
        <f aca="false">'1099-B Lots'!H16</f>
        <v>45887</v>
      </c>
      <c r="F73" s="11" t="n">
        <f aca="false">'1099-B Lots'!I16</f>
        <v>4200</v>
      </c>
      <c r="G73" s="11" t="n">
        <f aca="false">'1099-B Lots'!J16</f>
        <v>1500</v>
      </c>
      <c r="H73" s="11" t="str">
        <f aca="false">T('1099-B Lots'!A16)</f>
        <v>E</v>
      </c>
      <c r="I73" s="10" t="s">
        <v>94</v>
      </c>
    </row>
    <row r="74" customFormat="false" ht="15" hidden="false" customHeight="false" outlineLevel="0" collapsed="false">
      <c r="A74" s="11" t="str">
        <f aca="false">T('1099-B Lots'!D17)</f>
        <v>OLD MUTUAL FUND</v>
      </c>
      <c r="B74" s="11" t="str">
        <f aca="false">T('1099-B Lots'!E17)</f>
        <v>001234AB9</v>
      </c>
      <c r="C74" s="25" t="n">
        <f aca="false">'1099-B Lots'!F17</f>
        <v>75</v>
      </c>
      <c r="D74" s="26" t="str">
        <f aca="false">'1099-B Lots'!G17</f>
        <v>N/A</v>
      </c>
      <c r="E74" s="26" t="n">
        <f aca="false">'1099-B Lots'!H17</f>
        <v>45996</v>
      </c>
      <c r="F74" s="11" t="n">
        <f aca="false">'1099-B Lots'!I17</f>
        <v>2600</v>
      </c>
      <c r="G74" s="11" t="str">
        <f aca="false">'1099-B Lots'!J17</f>
        <v>N/A</v>
      </c>
      <c r="H74" s="11" t="str">
        <f aca="false">T('1099-B Lots'!A17)</f>
        <v>X</v>
      </c>
      <c r="I74" s="27" t="s">
        <v>95</v>
      </c>
    </row>
    <row r="75" customFormat="false" ht="15" hidden="false" customHeight="false" outlineLevel="0" collapsed="false">
      <c r="A75" s="11" t="str">
        <f aca="false">T('Crypto 1099-DA'!D6)</f>
        <v>ETHEREUM</v>
      </c>
      <c r="B75" s="11" t="str">
        <f aca="false">T('Crypto 1099-DA'!E6)</f>
        <v>ETH</v>
      </c>
      <c r="C75" s="25" t="n">
        <f aca="false">'Crypto 1099-DA'!F6</f>
        <v>1.2</v>
      </c>
      <c r="D75" s="26" t="n">
        <f aca="false">'Crypto 1099-DA'!G6</f>
        <v>45597</v>
      </c>
      <c r="E75" s="26" t="n">
        <f aca="false">'Crypto 1099-DA'!H6</f>
        <v>45748</v>
      </c>
      <c r="F75" s="11" t="n">
        <f aca="false">'Crypto 1099-DA'!I6</f>
        <v>2100</v>
      </c>
      <c r="G75" s="11" t="str">
        <f aca="false">'Crypto 1099-DA'!J6</f>
        <v>N/A</v>
      </c>
      <c r="H75" s="11" t="str">
        <f aca="false">T('Crypto 1099-DA'!A6)</f>
        <v>H</v>
      </c>
      <c r="I75" s="27" t="s">
        <v>96</v>
      </c>
    </row>
    <row r="77" customFormat="false" ht="15" hidden="false" customHeight="false" outlineLevel="0" collapsed="false">
      <c r="A77" s="8" t="s">
        <v>97</v>
      </c>
      <c r="B77" s="9"/>
      <c r="C77" s="9"/>
      <c r="D77" s="9"/>
      <c r="E77" s="9"/>
      <c r="F77" s="9"/>
      <c r="G77" s="9"/>
      <c r="H77" s="9"/>
      <c r="I77" s="9"/>
    </row>
    <row r="78" customFormat="false" ht="15" hidden="false" customHeight="false" outlineLevel="0" collapsed="false">
      <c r="A78" s="6" t="s">
        <v>98</v>
      </c>
      <c r="B78" s="7" t="s">
        <v>99</v>
      </c>
      <c r="C78" s="7" t="s">
        <v>100</v>
      </c>
      <c r="D78" s="7" t="s">
        <v>101</v>
      </c>
      <c r="H78" s="7" t="s">
        <v>102</v>
      </c>
    </row>
    <row r="79" customFormat="false" ht="15" hidden="false" customHeight="false" outlineLevel="0" collapsed="false">
      <c r="A79" s="10" t="s">
        <v>103</v>
      </c>
      <c r="B79" s="10" t="s">
        <v>104</v>
      </c>
      <c r="C79" s="11" t="n">
        <f aca="false">'Income Detail'!E21</f>
        <v>535.8</v>
      </c>
      <c r="D79" s="24" t="s">
        <v>105</v>
      </c>
      <c r="H79" s="10" t="s">
        <v>106</v>
      </c>
    </row>
    <row r="80" customFormat="false" ht="15" hidden="false" customHeight="false" outlineLevel="0" collapsed="false">
      <c r="A80" s="10" t="s">
        <v>107</v>
      </c>
      <c r="B80" s="10" t="s">
        <v>108</v>
      </c>
      <c r="C80" s="11" t="n">
        <f aca="false">'Income Detail'!E22</f>
        <v>290.7</v>
      </c>
      <c r="D80" s="24" t="s">
        <v>109</v>
      </c>
      <c r="H80" s="10" t="s">
        <v>106</v>
      </c>
    </row>
    <row r="81" customFormat="false" ht="15" hidden="false" customHeight="false" outlineLevel="0" collapsed="false">
      <c r="A81" s="10" t="s">
        <v>110</v>
      </c>
      <c r="B81" s="10" t="s">
        <v>111</v>
      </c>
      <c r="C81" s="11" t="n">
        <f aca="false">'Income Detail'!E23</f>
        <v>35</v>
      </c>
      <c r="D81" s="24" t="s">
        <v>112</v>
      </c>
      <c r="H81" s="10" t="s">
        <v>106</v>
      </c>
    </row>
    <row r="82" customFormat="false" ht="15" hidden="false" customHeight="false" outlineLevel="0" collapsed="false">
      <c r="A82" s="10" t="s">
        <v>113</v>
      </c>
      <c r="B82" s="10" t="s">
        <v>114</v>
      </c>
      <c r="C82" s="11" t="n">
        <f aca="false">'Income Detail'!E24</f>
        <v>4.1</v>
      </c>
      <c r="D82" s="24" t="s">
        <v>115</v>
      </c>
      <c r="H82" s="10" t="s">
        <v>106</v>
      </c>
    </row>
    <row r="83" customFormat="false" ht="15" hidden="false" customHeight="false" outlineLevel="0" collapsed="false">
      <c r="A83" s="10" t="s">
        <v>116</v>
      </c>
      <c r="B83" s="10" t="s">
        <v>117</v>
      </c>
      <c r="C83" s="11" t="n">
        <f aca="false">'Income Detail'!E25</f>
        <v>88.12</v>
      </c>
      <c r="D83" s="24" t="s">
        <v>118</v>
      </c>
      <c r="H83" s="10" t="s">
        <v>106</v>
      </c>
    </row>
    <row r="84" customFormat="false" ht="15" hidden="false" customHeight="false" outlineLevel="0" collapsed="false">
      <c r="A84" s="10" t="s">
        <v>119</v>
      </c>
      <c r="B84" s="10" t="s">
        <v>120</v>
      </c>
      <c r="C84" s="11" t="n">
        <f aca="false">'Income Detail'!E26</f>
        <v>120</v>
      </c>
      <c r="D84" s="24" t="s">
        <v>121</v>
      </c>
      <c r="H84" s="10" t="s">
        <v>106</v>
      </c>
    </row>
    <row r="85" customFormat="false" ht="15" hidden="false" customHeight="false" outlineLevel="0" collapsed="false">
      <c r="A85" s="10" t="s">
        <v>122</v>
      </c>
      <c r="B85" s="10" t="s">
        <v>123</v>
      </c>
      <c r="C85" s="11" t="n">
        <f aca="false">'Income Detail'!E27</f>
        <v>210</v>
      </c>
      <c r="D85" s="24" t="s">
        <v>124</v>
      </c>
      <c r="H85" s="10" t="s">
        <v>106</v>
      </c>
    </row>
    <row r="86" customFormat="false" ht="15" hidden="false" customHeight="false" outlineLevel="0" collapsed="false">
      <c r="A86" s="10" t="s">
        <v>125</v>
      </c>
      <c r="B86" s="10" t="s">
        <v>126</v>
      </c>
      <c r="C86" s="11" t="n">
        <f aca="false">'Income Detail'!E28</f>
        <v>15.75</v>
      </c>
      <c r="D86" s="24" t="s">
        <v>127</v>
      </c>
      <c r="H86" s="10" t="s">
        <v>106</v>
      </c>
    </row>
    <row r="87" customFormat="false" ht="15" hidden="false" customHeight="false" outlineLevel="0" collapsed="false">
      <c r="A87" s="13" t="s">
        <v>128</v>
      </c>
    </row>
    <row r="88" customFormat="false" ht="15" hidden="false" customHeight="false" outlineLevel="0" collapsed="false">
      <c r="A88" s="10" t="s">
        <v>129</v>
      </c>
      <c r="B88" s="10" t="s">
        <v>130</v>
      </c>
      <c r="C88" s="11" t="n">
        <f aca="false">SUMIFS('Income Detail'!$E$32:$E$34,'Income Detail'!$A$32:$A$34,"margin_interest")</f>
        <v>312.45</v>
      </c>
      <c r="D88" s="24" t="s">
        <v>131</v>
      </c>
      <c r="H88" s="10" t="s">
        <v>106</v>
      </c>
    </row>
    <row r="89" customFormat="false" ht="15" hidden="false" customHeight="false" outlineLevel="0" collapsed="false">
      <c r="A89" s="10" t="s">
        <v>132</v>
      </c>
      <c r="B89" s="10" t="s">
        <v>130</v>
      </c>
      <c r="C89" s="11" t="n">
        <f aca="false">SUMIFS('Income Detail'!$E$32:$E$34,'Income Detail'!$A$32:$A$34,"adr_fee")</f>
        <v>6</v>
      </c>
      <c r="D89" s="24" t="s">
        <v>133</v>
      </c>
      <c r="H89" s="10" t="s">
        <v>106</v>
      </c>
    </row>
    <row r="90" customFormat="false" ht="15" hidden="false" customHeight="false" outlineLevel="0" collapsed="false">
      <c r="A90" s="10" t="s">
        <v>134</v>
      </c>
      <c r="B90" s="10" t="s">
        <v>130</v>
      </c>
      <c r="C90" s="11" t="n">
        <f aca="false">SUMIFS('Income Detail'!$E$32:$E$34,'Income Detail'!$A$32:$A$34,"section_1256")</f>
        <v>-1250</v>
      </c>
      <c r="D90" s="24" t="s">
        <v>135</v>
      </c>
      <c r="H90" s="10" t="s">
        <v>106</v>
      </c>
    </row>
    <row r="91" customFormat="false" ht="15" hidden="false" customHeight="false" outlineLevel="0" collapsed="false">
      <c r="A91" s="10" t="s">
        <v>136</v>
      </c>
      <c r="B91" s="10" t="s">
        <v>137</v>
      </c>
      <c r="C91" s="11" t="n">
        <f aca="false">'Income Detail'!G41</f>
        <v>433.31</v>
      </c>
      <c r="D91" s="24" t="s">
        <v>138</v>
      </c>
      <c r="H91" s="10" t="s">
        <v>106</v>
      </c>
    </row>
    <row r="92" customFormat="false" ht="15" hidden="false" customHeight="false" outlineLevel="0" collapsed="false">
      <c r="A92" s="3" t="s">
        <v>139</v>
      </c>
      <c r="C92" s="3" t="s">
        <v>140</v>
      </c>
    </row>
    <row r="94" customFormat="false" ht="15" hidden="false" customHeight="false" outlineLevel="0" collapsed="false">
      <c r="A94" s="8" t="s">
        <v>141</v>
      </c>
      <c r="B94" s="9"/>
      <c r="C94" s="9"/>
      <c r="D94" s="9"/>
      <c r="E94" s="9"/>
      <c r="F94" s="9"/>
      <c r="G94" s="9"/>
      <c r="H94" s="9"/>
      <c r="I94" s="9"/>
    </row>
    <row r="95" customFormat="false" ht="15" hidden="false" customHeight="false" outlineLevel="0" collapsed="false">
      <c r="A95" s="6" t="s">
        <v>142</v>
      </c>
      <c r="C95" s="7" t="s">
        <v>143</v>
      </c>
      <c r="D95" s="7" t="s">
        <v>144</v>
      </c>
    </row>
    <row r="96" customFormat="false" ht="15" hidden="false" customHeight="false" outlineLevel="0" collapsed="false">
      <c r="A96" s="24" t="s">
        <v>145</v>
      </c>
      <c r="C96" s="28" t="n">
        <f aca="false">'1099-B Lots'!O19</f>
        <v>0</v>
      </c>
      <c r="D96" s="24" t="s">
        <v>146</v>
      </c>
    </row>
    <row r="97" customFormat="false" ht="15" hidden="false" customHeight="false" outlineLevel="0" collapsed="false">
      <c r="A97" s="24" t="s">
        <v>147</v>
      </c>
      <c r="C97" s="28" t="n">
        <f aca="false">'1099-B Lots'!I40</f>
        <v>0</v>
      </c>
      <c r="D97" s="24" t="s">
        <v>148</v>
      </c>
    </row>
    <row r="98" customFormat="false" ht="15" hidden="false" customHeight="false" outlineLevel="0" collapsed="false">
      <c r="A98" s="24" t="s">
        <v>149</v>
      </c>
      <c r="C98" s="28" t="n">
        <f aca="false">'1099-B Lots'!J40</f>
        <v>0</v>
      </c>
      <c r="D98" s="24" t="s">
        <v>150</v>
      </c>
    </row>
    <row r="99" customFormat="false" ht="15" hidden="false" customHeight="false" outlineLevel="0" collapsed="false">
      <c r="A99" s="24" t="s">
        <v>151</v>
      </c>
      <c r="C99" s="28" t="n">
        <f aca="false">'1099-B Lots'!K40</f>
        <v>0</v>
      </c>
      <c r="D99" s="24" t="s">
        <v>152</v>
      </c>
    </row>
    <row r="100" customFormat="false" ht="15" hidden="false" customHeight="false" outlineLevel="0" collapsed="false">
      <c r="A100" s="24" t="s">
        <v>153</v>
      </c>
      <c r="C100" s="28" t="n">
        <f aca="false">'1099-B Lots'!L40</f>
        <v>0</v>
      </c>
      <c r="D100" s="24" t="s">
        <v>154</v>
      </c>
    </row>
    <row r="101" customFormat="false" ht="15" hidden="false" customHeight="false" outlineLevel="0" collapsed="false">
      <c r="A101" s="24" t="s">
        <v>155</v>
      </c>
      <c r="C101" s="28" t="n">
        <f aca="false">'1099-B Lots'!M40</f>
        <v>0</v>
      </c>
      <c r="D101" s="24" t="s">
        <v>156</v>
      </c>
    </row>
    <row r="102" customFormat="false" ht="15" hidden="false" customHeight="false" outlineLevel="0" collapsed="false">
      <c r="A102" s="24" t="s">
        <v>157</v>
      </c>
      <c r="C102" s="28" t="n">
        <f aca="false">'1099-B Lots'!I41</f>
        <v>0</v>
      </c>
      <c r="D102" s="24" t="s">
        <v>158</v>
      </c>
    </row>
    <row r="103" customFormat="false" ht="15" hidden="false" customHeight="false" outlineLevel="0" collapsed="false">
      <c r="A103" s="24" t="s">
        <v>159</v>
      </c>
      <c r="C103" s="28" t="n">
        <f aca="false">'1099-B Lots'!J41</f>
        <v>0</v>
      </c>
      <c r="D103" s="24" t="s">
        <v>160</v>
      </c>
    </row>
    <row r="104" customFormat="false" ht="15" hidden="false" customHeight="false" outlineLevel="0" collapsed="false">
      <c r="A104" s="24" t="s">
        <v>161</v>
      </c>
      <c r="C104" s="28" t="n">
        <f aca="false">'1099-B Lots'!K41</f>
        <v>0</v>
      </c>
      <c r="D104" s="24" t="s">
        <v>162</v>
      </c>
    </row>
    <row r="105" customFormat="false" ht="15" hidden="false" customHeight="false" outlineLevel="0" collapsed="false">
      <c r="A105" s="24" t="s">
        <v>163</v>
      </c>
      <c r="C105" s="28" t="n">
        <f aca="false">'1099-B Lots'!L41</f>
        <v>0</v>
      </c>
      <c r="D105" s="24" t="s">
        <v>164</v>
      </c>
    </row>
    <row r="106" customFormat="false" ht="15" hidden="false" customHeight="false" outlineLevel="0" collapsed="false">
      <c r="A106" s="24" t="s">
        <v>165</v>
      </c>
      <c r="C106" s="28" t="n">
        <f aca="false">'1099-B Lots'!M41</f>
        <v>0</v>
      </c>
      <c r="D106" s="24" t="s">
        <v>166</v>
      </c>
    </row>
    <row r="107" customFormat="false" ht="15" hidden="false" customHeight="false" outlineLevel="0" collapsed="false">
      <c r="A107" s="24" t="s">
        <v>167</v>
      </c>
      <c r="C107" s="28" t="n">
        <f aca="false">'1099-B Lots'!I42</f>
        <v>0</v>
      </c>
      <c r="D107" s="24" t="s">
        <v>168</v>
      </c>
    </row>
    <row r="108" customFormat="false" ht="15" hidden="false" customHeight="false" outlineLevel="0" collapsed="false">
      <c r="A108" s="24" t="s">
        <v>169</v>
      </c>
      <c r="C108" s="28" t="n">
        <f aca="false">'1099-B Lots'!J42</f>
        <v>0</v>
      </c>
      <c r="D108" s="24" t="s">
        <v>170</v>
      </c>
    </row>
    <row r="109" customFormat="false" ht="15" hidden="false" customHeight="false" outlineLevel="0" collapsed="false">
      <c r="A109" s="24" t="s">
        <v>171</v>
      </c>
      <c r="C109" s="28" t="n">
        <f aca="false">'1099-B Lots'!K42</f>
        <v>0</v>
      </c>
      <c r="D109" s="24" t="s">
        <v>172</v>
      </c>
    </row>
    <row r="110" customFormat="false" ht="15" hidden="false" customHeight="false" outlineLevel="0" collapsed="false">
      <c r="A110" s="24" t="s">
        <v>173</v>
      </c>
      <c r="C110" s="28" t="n">
        <f aca="false">'1099-B Lots'!L42</f>
        <v>0</v>
      </c>
      <c r="D110" s="24" t="s">
        <v>174</v>
      </c>
    </row>
    <row r="111" customFormat="false" ht="15" hidden="false" customHeight="false" outlineLevel="0" collapsed="false">
      <c r="A111" s="24" t="s">
        <v>175</v>
      </c>
      <c r="C111" s="28" t="n">
        <f aca="false">'1099-B Lots'!M42</f>
        <v>0</v>
      </c>
      <c r="D111" s="24" t="s">
        <v>176</v>
      </c>
    </row>
    <row r="112" customFormat="false" ht="15" hidden="false" customHeight="false" outlineLevel="0" collapsed="false">
      <c r="A112" s="24" t="s">
        <v>177</v>
      </c>
      <c r="C112" s="28" t="n">
        <f aca="false">'1099-B Lots'!I43</f>
        <v>0</v>
      </c>
      <c r="D112" s="24" t="s">
        <v>178</v>
      </c>
    </row>
    <row r="113" customFormat="false" ht="15" hidden="false" customHeight="false" outlineLevel="0" collapsed="false">
      <c r="A113" s="24" t="s">
        <v>179</v>
      </c>
      <c r="C113" s="28" t="n">
        <f aca="false">'1099-B Lots'!J43</f>
        <v>0</v>
      </c>
      <c r="D113" s="24" t="s">
        <v>180</v>
      </c>
    </row>
    <row r="114" customFormat="false" ht="15" hidden="false" customHeight="false" outlineLevel="0" collapsed="false">
      <c r="A114" s="24" t="s">
        <v>181</v>
      </c>
      <c r="C114" s="28" t="n">
        <f aca="false">'1099-B Lots'!K43</f>
        <v>0</v>
      </c>
      <c r="D114" s="24" t="s">
        <v>182</v>
      </c>
    </row>
    <row r="115" customFormat="false" ht="15" hidden="false" customHeight="false" outlineLevel="0" collapsed="false">
      <c r="A115" s="24" t="s">
        <v>183</v>
      </c>
      <c r="C115" s="28" t="n">
        <f aca="false">'1099-B Lots'!L43</f>
        <v>0</v>
      </c>
      <c r="D115" s="24" t="s">
        <v>184</v>
      </c>
    </row>
    <row r="116" customFormat="false" ht="15" hidden="false" customHeight="false" outlineLevel="0" collapsed="false">
      <c r="A116" s="24" t="s">
        <v>185</v>
      </c>
      <c r="C116" s="28" t="n">
        <f aca="false">'1099-B Lots'!M43</f>
        <v>0</v>
      </c>
      <c r="D116" s="24" t="s">
        <v>186</v>
      </c>
    </row>
    <row r="117" customFormat="false" ht="15" hidden="false" customHeight="false" outlineLevel="0" collapsed="false">
      <c r="A117" s="24" t="s">
        <v>187</v>
      </c>
      <c r="C117" s="28" t="n">
        <f aca="false">'1099-B Lots'!I44</f>
        <v>0</v>
      </c>
      <c r="D117" s="24" t="s">
        <v>188</v>
      </c>
    </row>
    <row r="118" customFormat="false" ht="15" hidden="false" customHeight="false" outlineLevel="0" collapsed="false">
      <c r="A118" s="24" t="s">
        <v>189</v>
      </c>
      <c r="C118" s="28" t="n">
        <f aca="false">'1099-B Lots'!J44</f>
        <v>0</v>
      </c>
      <c r="D118" s="24" t="s">
        <v>190</v>
      </c>
    </row>
    <row r="119" customFormat="false" ht="15" hidden="false" customHeight="false" outlineLevel="0" collapsed="false">
      <c r="A119" s="24" t="s">
        <v>191</v>
      </c>
      <c r="C119" s="28" t="n">
        <f aca="false">'1099-B Lots'!K44</f>
        <v>0</v>
      </c>
      <c r="D119" s="24" t="s">
        <v>192</v>
      </c>
    </row>
    <row r="120" customFormat="false" ht="15" hidden="false" customHeight="false" outlineLevel="0" collapsed="false">
      <c r="A120" s="24" t="s">
        <v>193</v>
      </c>
      <c r="C120" s="28" t="n">
        <f aca="false">'1099-B Lots'!L44</f>
        <v>0</v>
      </c>
      <c r="D120" s="24" t="s">
        <v>194</v>
      </c>
    </row>
    <row r="121" customFormat="false" ht="15" hidden="false" customHeight="false" outlineLevel="0" collapsed="false">
      <c r="A121" s="24" t="s">
        <v>195</v>
      </c>
      <c r="C121" s="28" t="n">
        <f aca="false">'1099-B Lots'!M44</f>
        <v>0</v>
      </c>
      <c r="D121" s="24" t="s">
        <v>196</v>
      </c>
    </row>
    <row r="122" customFormat="false" ht="15" hidden="false" customHeight="false" outlineLevel="0" collapsed="false">
      <c r="A122" s="24" t="s">
        <v>197</v>
      </c>
      <c r="C122" s="28" t="n">
        <f aca="false">'Crypto 1099-DA'!O8</f>
        <v>0</v>
      </c>
      <c r="D122" s="24" t="s">
        <v>198</v>
      </c>
    </row>
    <row r="123" customFormat="false" ht="15" hidden="false" customHeight="false" outlineLevel="0" collapsed="false">
      <c r="A123" s="24" t="s">
        <v>199</v>
      </c>
      <c r="C123" s="28" t="n">
        <f aca="false">'Crypto 1099-DA'!I25</f>
        <v>0</v>
      </c>
      <c r="D123" s="24" t="s">
        <v>200</v>
      </c>
    </row>
    <row r="124" customFormat="false" ht="15" hidden="false" customHeight="false" outlineLevel="0" collapsed="false">
      <c r="A124" s="24" t="s">
        <v>201</v>
      </c>
      <c r="C124" s="28" t="n">
        <f aca="false">'Crypto 1099-DA'!J25</f>
        <v>0</v>
      </c>
      <c r="D124" s="24" t="s">
        <v>202</v>
      </c>
    </row>
    <row r="125" customFormat="false" ht="15" hidden="false" customHeight="false" outlineLevel="0" collapsed="false">
      <c r="A125" s="24" t="s">
        <v>203</v>
      </c>
      <c r="C125" s="28" t="n">
        <f aca="false">'Crypto 1099-DA'!K25</f>
        <v>0</v>
      </c>
      <c r="D125" s="24" t="s">
        <v>204</v>
      </c>
    </row>
    <row r="126" customFormat="false" ht="15" hidden="false" customHeight="false" outlineLevel="0" collapsed="false">
      <c r="A126" s="24" t="s">
        <v>205</v>
      </c>
      <c r="C126" s="28" t="n">
        <f aca="false">'Crypto 1099-DA'!L25</f>
        <v>0</v>
      </c>
      <c r="D126" s="24" t="s">
        <v>206</v>
      </c>
    </row>
    <row r="127" customFormat="false" ht="15" hidden="false" customHeight="false" outlineLevel="0" collapsed="false">
      <c r="A127" s="24" t="s">
        <v>207</v>
      </c>
      <c r="C127" s="28" t="n">
        <f aca="false">'Crypto 1099-DA'!M25</f>
        <v>0</v>
      </c>
      <c r="D127" s="24" t="s">
        <v>208</v>
      </c>
    </row>
    <row r="128" customFormat="false" ht="15" hidden="false" customHeight="false" outlineLevel="0" collapsed="false">
      <c r="A128" s="24" t="s">
        <v>209</v>
      </c>
      <c r="C128" s="28" t="n">
        <f aca="false">'Crypto 1099-DA'!I26</f>
        <v>0</v>
      </c>
      <c r="D128" s="24" t="s">
        <v>210</v>
      </c>
    </row>
    <row r="129" customFormat="false" ht="15" hidden="false" customHeight="false" outlineLevel="0" collapsed="false">
      <c r="A129" s="24" t="s">
        <v>211</v>
      </c>
      <c r="C129" s="28" t="n">
        <f aca="false">'Crypto 1099-DA'!J26</f>
        <v>0</v>
      </c>
      <c r="D129" s="24" t="s">
        <v>212</v>
      </c>
    </row>
    <row r="130" customFormat="false" ht="15" hidden="false" customHeight="false" outlineLevel="0" collapsed="false">
      <c r="A130" s="24" t="s">
        <v>213</v>
      </c>
      <c r="C130" s="28" t="n">
        <f aca="false">'Crypto 1099-DA'!K26</f>
        <v>0</v>
      </c>
      <c r="D130" s="24" t="s">
        <v>214</v>
      </c>
    </row>
    <row r="131" customFormat="false" ht="15" hidden="false" customHeight="false" outlineLevel="0" collapsed="false">
      <c r="A131" s="24" t="s">
        <v>215</v>
      </c>
      <c r="C131" s="28" t="n">
        <f aca="false">'Crypto 1099-DA'!L26</f>
        <v>0</v>
      </c>
      <c r="D131" s="24" t="s">
        <v>216</v>
      </c>
    </row>
    <row r="132" customFormat="false" ht="15" hidden="false" customHeight="false" outlineLevel="0" collapsed="false">
      <c r="A132" s="24" t="s">
        <v>217</v>
      </c>
      <c r="C132" s="28" t="n">
        <f aca="false">'Crypto 1099-DA'!M26</f>
        <v>0</v>
      </c>
      <c r="D132" s="24" t="s">
        <v>218</v>
      </c>
    </row>
    <row r="133" customFormat="false" ht="15" hidden="false" customHeight="false" outlineLevel="0" collapsed="false">
      <c r="A133" s="24" t="s">
        <v>219</v>
      </c>
      <c r="C133" s="28" t="n">
        <f aca="false">'Crypto 1099-DA'!I39</f>
        <v>0</v>
      </c>
      <c r="D133" s="24" t="s">
        <v>220</v>
      </c>
    </row>
    <row r="134" customFormat="false" ht="15" hidden="false" customHeight="false" outlineLevel="0" collapsed="false">
      <c r="A134" s="24" t="s">
        <v>221</v>
      </c>
      <c r="C134" s="28" t="n">
        <f aca="false">'Crypto 1099-DA'!L39</f>
        <v>0</v>
      </c>
      <c r="D134" s="24" t="s">
        <v>222</v>
      </c>
    </row>
    <row r="135" customFormat="false" ht="15" hidden="false" customHeight="false" outlineLevel="0" collapsed="false">
      <c r="A135" s="24" t="s">
        <v>223</v>
      </c>
      <c r="C135" s="28" t="n">
        <f aca="false">'By Security'!C17</f>
        <v>0</v>
      </c>
      <c r="D135" s="24" t="s">
        <v>224</v>
      </c>
    </row>
    <row r="136" customFormat="false" ht="15" hidden="false" customHeight="false" outlineLevel="0" collapsed="false">
      <c r="A136" s="24" t="s">
        <v>225</v>
      </c>
      <c r="C136" s="28" t="n">
        <f aca="false">'By Security'!D17</f>
        <v>0</v>
      </c>
      <c r="D136" s="24" t="s">
        <v>226</v>
      </c>
    </row>
    <row r="137" customFormat="false" ht="15" hidden="false" customHeight="false" outlineLevel="0" collapsed="false">
      <c r="A137" s="24" t="s">
        <v>227</v>
      </c>
      <c r="C137" s="28" t="n">
        <f aca="false">'By Security'!E17</f>
        <v>0</v>
      </c>
      <c r="D137" s="24" t="s">
        <v>228</v>
      </c>
    </row>
    <row r="138" customFormat="false" ht="15" hidden="false" customHeight="false" outlineLevel="0" collapsed="false">
      <c r="A138" s="24" t="s">
        <v>229</v>
      </c>
      <c r="C138" s="28" t="n">
        <f aca="false">'By Security'!F17</f>
        <v>0</v>
      </c>
      <c r="D138" s="24" t="s">
        <v>230</v>
      </c>
    </row>
    <row r="139" customFormat="false" ht="15" hidden="false" customHeight="false" outlineLevel="0" collapsed="false">
      <c r="A139" s="24" t="s">
        <v>231</v>
      </c>
      <c r="C139" s="28" t="n">
        <f aca="false">'By Security'!G17</f>
        <v>0</v>
      </c>
      <c r="D139" s="24" t="s">
        <v>232</v>
      </c>
    </row>
    <row r="140" customFormat="false" ht="15" hidden="false" customHeight="false" outlineLevel="0" collapsed="false">
      <c r="A140" s="24" t="s">
        <v>233</v>
      </c>
      <c r="C140" s="28" t="n">
        <f aca="false">'Wash Sales'!K7</f>
        <v>0</v>
      </c>
      <c r="D140" s="24" t="s">
        <v>234</v>
      </c>
    </row>
    <row r="141" customFormat="false" ht="15" hidden="false" customHeight="false" outlineLevel="0" collapsed="false">
      <c r="A141" s="24" t="s">
        <v>235</v>
      </c>
      <c r="C141" s="28" t="n">
        <f aca="false">'Wash Sales'!H9</f>
        <v>0</v>
      </c>
      <c r="D141" s="24" t="s">
        <v>236</v>
      </c>
    </row>
    <row r="142" customFormat="false" ht="15" hidden="false" customHeight="false" outlineLevel="0" collapsed="false">
      <c r="A142" s="24" t="s">
        <v>237</v>
      </c>
      <c r="C142" s="28" t="n">
        <f aca="false">'Wash Sales'!I18</f>
        <v>0</v>
      </c>
      <c r="D142" s="24" t="s">
        <v>238</v>
      </c>
    </row>
    <row r="143" customFormat="false" ht="15" hidden="false" customHeight="false" outlineLevel="0" collapsed="false">
      <c r="A143" s="24" t="s">
        <v>239</v>
      </c>
      <c r="C143" s="28" t="n">
        <f aca="false">'Wash Sales'!I19</f>
        <v>0</v>
      </c>
      <c r="D143" s="24" t="s">
        <v>240</v>
      </c>
    </row>
    <row r="144" customFormat="false" ht="15" hidden="false" customHeight="false" outlineLevel="0" collapsed="false">
      <c r="A144" s="24" t="s">
        <v>241</v>
      </c>
      <c r="C144" s="28" t="n">
        <f aca="false">'Wash Sales'!I20</f>
        <v>0</v>
      </c>
      <c r="D144" s="24" t="s">
        <v>242</v>
      </c>
    </row>
    <row r="145" customFormat="false" ht="15" hidden="false" customHeight="false" outlineLevel="0" collapsed="false">
      <c r="A145" s="24" t="s">
        <v>243</v>
      </c>
      <c r="C145" s="28" t="n">
        <f aca="false">'Wash Sales'!I21</f>
        <v>0</v>
      </c>
      <c r="D145" s="24" t="s">
        <v>244</v>
      </c>
    </row>
    <row r="146" customFormat="false" ht="15" hidden="false" customHeight="false" outlineLevel="0" collapsed="false">
      <c r="A146" s="24" t="s">
        <v>245</v>
      </c>
      <c r="C146" s="28" t="n">
        <f aca="false">'Wash Sales'!I22</f>
        <v>0</v>
      </c>
      <c r="D146" s="24" t="s">
        <v>246</v>
      </c>
    </row>
    <row r="147" customFormat="false" ht="15" hidden="false" customHeight="false" outlineLevel="0" collapsed="false">
      <c r="A147" s="24" t="s">
        <v>247</v>
      </c>
      <c r="C147" s="28" t="n">
        <f aca="false">'Wash Sales'!I23</f>
        <v>0</v>
      </c>
      <c r="D147" s="24" t="s">
        <v>248</v>
      </c>
    </row>
    <row r="148" customFormat="false" ht="15" hidden="false" customHeight="false" outlineLevel="0" collapsed="false">
      <c r="A148" s="24" t="s">
        <v>249</v>
      </c>
      <c r="C148" s="28" t="n">
        <f aca="false">'Wash Sales'!I24</f>
        <v>0</v>
      </c>
      <c r="D148" s="24" t="s">
        <v>250</v>
      </c>
    </row>
    <row r="149" customFormat="false" ht="15" hidden="false" customHeight="false" outlineLevel="0" collapsed="false">
      <c r="A149" s="24" t="s">
        <v>251</v>
      </c>
      <c r="C149" s="28" t="n">
        <f aca="false">'Noncovered Lots'!Q14</f>
        <v>0</v>
      </c>
      <c r="D149" s="24" t="s">
        <v>252</v>
      </c>
    </row>
    <row r="150" customFormat="false" ht="15" hidden="false" customHeight="false" outlineLevel="0" collapsed="false">
      <c r="A150" s="24" t="s">
        <v>253</v>
      </c>
      <c r="C150" s="28" t="n">
        <f aca="false">'Noncovered Lots'!R14</f>
        <v>0</v>
      </c>
      <c r="D150" s="24" t="s">
        <v>254</v>
      </c>
    </row>
    <row r="151" customFormat="false" ht="15" hidden="false" customHeight="false" outlineLevel="0" collapsed="false">
      <c r="A151" s="24" t="s">
        <v>255</v>
      </c>
      <c r="C151" s="28" t="n">
        <f aca="false">'Noncovered Lots'!Q15</f>
        <v>0</v>
      </c>
      <c r="D151" s="24" t="s">
        <v>256</v>
      </c>
    </row>
    <row r="152" customFormat="false" ht="15" hidden="false" customHeight="false" outlineLevel="0" collapsed="false">
      <c r="A152" s="24" t="s">
        <v>257</v>
      </c>
      <c r="C152" s="28" t="n">
        <f aca="false">'Noncovered Lots'!R15</f>
        <v>0</v>
      </c>
      <c r="D152" s="24" t="s">
        <v>258</v>
      </c>
    </row>
    <row r="153" customFormat="false" ht="15" hidden="false" customHeight="false" outlineLevel="0" collapsed="false">
      <c r="A153" s="24" t="s">
        <v>259</v>
      </c>
      <c r="C153" s="28" t="n">
        <f aca="false">'Noncovered Lots'!Q16</f>
        <v>0</v>
      </c>
      <c r="D153" s="24" t="s">
        <v>260</v>
      </c>
    </row>
    <row r="154" customFormat="false" ht="15" hidden="false" customHeight="false" outlineLevel="0" collapsed="false">
      <c r="A154" s="24" t="s">
        <v>261</v>
      </c>
      <c r="C154" s="28" t="n">
        <f aca="false">'Noncovered Lots'!R16</f>
        <v>0</v>
      </c>
      <c r="D154" s="24" t="s">
        <v>262</v>
      </c>
    </row>
    <row r="155" customFormat="false" ht="15" hidden="false" customHeight="false" outlineLevel="0" collapsed="false">
      <c r="A155" s="24" t="s">
        <v>263</v>
      </c>
      <c r="C155" s="28" t="n">
        <f aca="false">'Noncovered Lots'!Q17</f>
        <v>0</v>
      </c>
      <c r="D155" s="24" t="s">
        <v>264</v>
      </c>
    </row>
    <row r="156" customFormat="false" ht="15" hidden="false" customHeight="false" outlineLevel="0" collapsed="false">
      <c r="A156" s="24" t="s">
        <v>265</v>
      </c>
      <c r="C156" s="28" t="n">
        <f aca="false">'Noncovered Lots'!R17</f>
        <v>0</v>
      </c>
      <c r="D156" s="24" t="s">
        <v>266</v>
      </c>
    </row>
    <row r="157" customFormat="false" ht="15" hidden="false" customHeight="false" outlineLevel="0" collapsed="false">
      <c r="A157" s="24" t="s">
        <v>267</v>
      </c>
      <c r="C157" s="28" t="n">
        <f aca="false">'Income Detail'!G21</f>
        <v>0</v>
      </c>
      <c r="D157" s="24" t="s">
        <v>268</v>
      </c>
    </row>
    <row r="158" customFormat="false" ht="15" hidden="false" customHeight="false" outlineLevel="0" collapsed="false">
      <c r="A158" s="24" t="s">
        <v>269</v>
      </c>
      <c r="C158" s="28" t="n">
        <f aca="false">'Income Detail'!G22</f>
        <v>0</v>
      </c>
      <c r="D158" s="24" t="s">
        <v>270</v>
      </c>
    </row>
    <row r="159" customFormat="false" ht="15" hidden="false" customHeight="false" outlineLevel="0" collapsed="false">
      <c r="A159" s="24" t="s">
        <v>271</v>
      </c>
      <c r="C159" s="28" t="n">
        <f aca="false">'Income Detail'!G23</f>
        <v>0</v>
      </c>
      <c r="D159" s="24" t="s">
        <v>272</v>
      </c>
    </row>
    <row r="160" customFormat="false" ht="15" hidden="false" customHeight="false" outlineLevel="0" collapsed="false">
      <c r="A160" s="24" t="s">
        <v>273</v>
      </c>
      <c r="C160" s="28" t="n">
        <f aca="false">'Income Detail'!G24</f>
        <v>0</v>
      </c>
      <c r="D160" s="24" t="s">
        <v>274</v>
      </c>
    </row>
    <row r="161" customFormat="false" ht="15" hidden="false" customHeight="false" outlineLevel="0" collapsed="false">
      <c r="A161" s="24" t="s">
        <v>275</v>
      </c>
      <c r="C161" s="28" t="n">
        <f aca="false">'Income Detail'!G25</f>
        <v>0</v>
      </c>
      <c r="D161" s="24" t="s">
        <v>276</v>
      </c>
    </row>
    <row r="162" customFormat="false" ht="15" hidden="false" customHeight="false" outlineLevel="0" collapsed="false">
      <c r="A162" s="24" t="s">
        <v>277</v>
      </c>
      <c r="C162" s="28" t="n">
        <f aca="false">'Income Detail'!G26</f>
        <v>0</v>
      </c>
      <c r="D162" s="24" t="s">
        <v>278</v>
      </c>
    </row>
    <row r="163" customFormat="false" ht="15" hidden="false" customHeight="false" outlineLevel="0" collapsed="false">
      <c r="A163" s="24" t="s">
        <v>279</v>
      </c>
      <c r="C163" s="28" t="n">
        <f aca="false">'Income Detail'!G27</f>
        <v>0</v>
      </c>
      <c r="D163" s="24" t="s">
        <v>280</v>
      </c>
    </row>
    <row r="164" customFormat="false" ht="15" hidden="false" customHeight="false" outlineLevel="0" collapsed="false">
      <c r="A164" s="24" t="s">
        <v>281</v>
      </c>
      <c r="C164" s="28" t="n">
        <f aca="false">'Income Detail'!G28</f>
        <v>0</v>
      </c>
      <c r="D164" s="24" t="s">
        <v>282</v>
      </c>
    </row>
    <row r="165" customFormat="false" ht="15" hidden="false" customHeight="false" outlineLevel="0" collapsed="false">
      <c r="A165" s="24" t="s">
        <v>283</v>
      </c>
      <c r="C165" s="16" t="n">
        <f aca="false">G31</f>
        <v>0</v>
      </c>
      <c r="D165" s="24" t="s">
        <v>284</v>
      </c>
    </row>
    <row r="166" customFormat="false" ht="15" hidden="false" customHeight="false" outlineLevel="0" collapsed="false">
      <c r="A166" s="24" t="s">
        <v>285</v>
      </c>
      <c r="C166" s="16" t="n">
        <f aca="false">G37</f>
        <v>0</v>
      </c>
      <c r="D166" s="24" t="s">
        <v>286</v>
      </c>
    </row>
    <row r="167" customFormat="false" ht="15" hidden="false" customHeight="false" outlineLevel="0" collapsed="false">
      <c r="A167" s="24" t="s">
        <v>287</v>
      </c>
      <c r="C167" s="16" t="n">
        <f aca="false">G44</f>
        <v>0</v>
      </c>
      <c r="D167" s="24" t="s">
        <v>288</v>
      </c>
    </row>
    <row r="168" customFormat="false" ht="15" hidden="false" customHeight="false" outlineLevel="0" collapsed="false">
      <c r="A168" s="24" t="s">
        <v>289</v>
      </c>
      <c r="C168" s="16" t="n">
        <f aca="false">G52</f>
        <v>0</v>
      </c>
      <c r="D168" s="24" t="s">
        <v>290</v>
      </c>
    </row>
    <row r="169" customFormat="false" ht="15" hidden="false" customHeight="false" outlineLevel="0" collapsed="false">
      <c r="A169" s="24" t="s">
        <v>291</v>
      </c>
      <c r="C169" s="16" t="n">
        <f aca="false">G60</f>
        <v>0</v>
      </c>
      <c r="D169" s="24" t="s">
        <v>292</v>
      </c>
    </row>
    <row r="171" customFormat="false" ht="15" hidden="false" customHeight="false" outlineLevel="0" collapsed="false">
      <c r="A171" s="29" t="s">
        <v>293</v>
      </c>
      <c r="C171" s="30" t="str">
        <f aca="false">IF(SUMPRODUCT(--(ABS(C96:C169)&gt;=0.005))=0,"ALL TIED","CHECK")</f>
        <v>ALL TIED</v>
      </c>
    </row>
    <row r="173" customFormat="false" ht="15" hidden="false" customHeight="false" outlineLevel="0" collapsed="false">
      <c r="A173" s="8" t="s">
        <v>294</v>
      </c>
      <c r="B173" s="9"/>
      <c r="C173" s="9"/>
      <c r="D173" s="9"/>
      <c r="E173" s="9"/>
      <c r="F173" s="9"/>
      <c r="G173" s="9"/>
      <c r="H173" s="9"/>
      <c r="I173" s="9"/>
    </row>
    <row r="174" customFormat="false" ht="15" hidden="false" customHeight="false" outlineLevel="0" collapsed="false">
      <c r="A174" s="4" t="s">
        <v>295</v>
      </c>
    </row>
    <row r="175" customFormat="false" ht="15" hidden="false" customHeight="false" outlineLevel="0" collapsed="false">
      <c r="A175" s="12" t="s">
        <v>296</v>
      </c>
    </row>
    <row r="176" customFormat="false" ht="15" hidden="false" customHeight="false" outlineLevel="0" collapsed="false">
      <c r="A176" s="11" t="s">
        <v>297</v>
      </c>
    </row>
    <row r="177" customFormat="false" ht="15" hidden="false" customHeight="false" outlineLevel="0" collapsed="false">
      <c r="A177" s="31" t="s">
        <v>298</v>
      </c>
    </row>
    <row r="178" customFormat="false" ht="15" hidden="false" customHeight="false" outlineLevel="0" collapsed="false">
      <c r="A178" s="20" t="s">
        <v>299</v>
      </c>
    </row>
    <row r="179" customFormat="false" ht="15" hidden="false" customHeight="false" outlineLevel="0" collapsed="false">
      <c r="A179" s="27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36"/>
    <col collapsed="false" customWidth="true" hidden="false" outlineLevel="0" max="8" min="5" style="0" width="12"/>
    <col collapsed="false" customWidth="true" hidden="false" outlineLevel="0" max="10" min="9" style="0" width="15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4" min="13" style="0" width="15"/>
    <col collapsed="false" customWidth="true" hidden="false" outlineLevel="0" max="16" min="15" style="0" width="10"/>
    <col collapsed="false" customWidth="true" hidden="false" outlineLevel="0" max="17" min="17" style="0" width="40"/>
    <col collapsed="false" customWidth="true" hidden="false" outlineLevel="0" max="18" min="18" style="0" width="8"/>
  </cols>
  <sheetData>
    <row r="1" customFormat="false" ht="17.3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2" t="s">
        <v>302</v>
      </c>
    </row>
    <row r="4" customFormat="false" ht="23.85" hidden="false" customHeight="false" outlineLevel="0" collapsed="false">
      <c r="A4" s="6" t="s">
        <v>74</v>
      </c>
      <c r="B4" s="7" t="s">
        <v>30</v>
      </c>
      <c r="C4" s="7" t="s">
        <v>303</v>
      </c>
      <c r="D4" s="7" t="s">
        <v>87</v>
      </c>
      <c r="E4" s="7" t="s">
        <v>56</v>
      </c>
      <c r="F4" s="7" t="s">
        <v>88</v>
      </c>
      <c r="G4" s="7" t="s">
        <v>89</v>
      </c>
      <c r="H4" s="7" t="s">
        <v>90</v>
      </c>
      <c r="I4" s="7" t="s">
        <v>304</v>
      </c>
      <c r="J4" s="7" t="s">
        <v>305</v>
      </c>
      <c r="K4" s="7" t="s">
        <v>306</v>
      </c>
      <c r="L4" s="7" t="s">
        <v>307</v>
      </c>
      <c r="M4" s="7" t="s">
        <v>308</v>
      </c>
      <c r="N4" s="7" t="s">
        <v>309</v>
      </c>
      <c r="O4" s="7" t="s">
        <v>310</v>
      </c>
      <c r="P4" s="7" t="s">
        <v>19</v>
      </c>
      <c r="Q4" s="7" t="s">
        <v>311</v>
      </c>
      <c r="R4" s="7" t="s">
        <v>312</v>
      </c>
    </row>
    <row r="5" customFormat="false" ht="15" hidden="false" customHeight="false" outlineLevel="0" collapsed="false">
      <c r="A5" s="4" t="s">
        <v>39</v>
      </c>
      <c r="B5" s="10" t="s">
        <v>313</v>
      </c>
      <c r="C5" s="4" t="s">
        <v>314</v>
      </c>
      <c r="D5" s="4" t="s">
        <v>59</v>
      </c>
      <c r="E5" s="4" t="s">
        <v>60</v>
      </c>
      <c r="F5" s="32" t="n">
        <v>50</v>
      </c>
      <c r="G5" s="5" t="n">
        <v>45667</v>
      </c>
      <c r="H5" s="5" t="n">
        <v>45719</v>
      </c>
      <c r="I5" s="15" t="n">
        <v>11250</v>
      </c>
      <c r="J5" s="15" t="n">
        <v>12000</v>
      </c>
      <c r="K5" s="15" t="n">
        <v>0</v>
      </c>
      <c r="L5" s="15" t="n">
        <v>0</v>
      </c>
      <c r="M5" s="15" t="n">
        <v>-750</v>
      </c>
      <c r="N5" s="12" t="n">
        <f aca="false">I5-J5+L5</f>
        <v>-750</v>
      </c>
      <c r="O5" s="33" t="n">
        <f aca="false">ROUND(N5-M5,2)</f>
        <v>0</v>
      </c>
      <c r="P5" s="4" t="s">
        <v>315</v>
      </c>
      <c r="Q5" s="4"/>
      <c r="R5" s="34" t="n">
        <v>7</v>
      </c>
    </row>
    <row r="6" customFormat="false" ht="15" hidden="false" customHeight="false" outlineLevel="0" collapsed="false">
      <c r="A6" s="4" t="s">
        <v>39</v>
      </c>
      <c r="B6" s="10" t="s">
        <v>313</v>
      </c>
      <c r="C6" s="4" t="s">
        <v>314</v>
      </c>
      <c r="D6" s="4" t="s">
        <v>59</v>
      </c>
      <c r="E6" s="4" t="s">
        <v>60</v>
      </c>
      <c r="F6" s="32" t="n">
        <v>20</v>
      </c>
      <c r="G6" s="5" t="n">
        <v>45726</v>
      </c>
      <c r="H6" s="5" t="n">
        <v>45762</v>
      </c>
      <c r="I6" s="15" t="n">
        <v>3900</v>
      </c>
      <c r="J6" s="15" t="n">
        <v>4400</v>
      </c>
      <c r="K6" s="15" t="n">
        <v>0</v>
      </c>
      <c r="L6" s="15" t="n">
        <v>500</v>
      </c>
      <c r="M6" s="15" t="n">
        <v>0</v>
      </c>
      <c r="N6" s="12" t="n">
        <f aca="false">I6-J6+L6</f>
        <v>0</v>
      </c>
      <c r="O6" s="33" t="n">
        <f aca="false">ROUND(N6-M6,2)</f>
        <v>0</v>
      </c>
      <c r="P6" s="4" t="s">
        <v>315</v>
      </c>
      <c r="Q6" s="4"/>
      <c r="R6" s="34" t="n">
        <v>7</v>
      </c>
    </row>
    <row r="7" customFormat="false" ht="15" hidden="false" customHeight="false" outlineLevel="0" collapsed="false">
      <c r="A7" s="4" t="s">
        <v>39</v>
      </c>
      <c r="B7" s="10" t="s">
        <v>313</v>
      </c>
      <c r="C7" s="4" t="s">
        <v>314</v>
      </c>
      <c r="D7" s="4" t="s">
        <v>59</v>
      </c>
      <c r="E7" s="4" t="s">
        <v>60</v>
      </c>
      <c r="F7" s="32" t="n">
        <v>30</v>
      </c>
      <c r="G7" s="5" t="n">
        <v>45767</v>
      </c>
      <c r="H7" s="5" t="n">
        <v>45989</v>
      </c>
      <c r="I7" s="15" t="n">
        <v>7050</v>
      </c>
      <c r="J7" s="15" t="n">
        <v>6650</v>
      </c>
      <c r="K7" s="15" t="n">
        <v>0</v>
      </c>
      <c r="L7" s="15" t="n">
        <v>0</v>
      </c>
      <c r="M7" s="15" t="n">
        <v>400</v>
      </c>
      <c r="N7" s="12" t="n">
        <f aca="false">I7-J7+L7</f>
        <v>400</v>
      </c>
      <c r="O7" s="33" t="n">
        <f aca="false">ROUND(N7-M7,2)</f>
        <v>0</v>
      </c>
      <c r="P7" s="4" t="s">
        <v>315</v>
      </c>
      <c r="Q7" s="4"/>
      <c r="R7" s="34" t="n">
        <v>7</v>
      </c>
    </row>
    <row r="8" customFormat="false" ht="15" hidden="false" customHeight="false" outlineLevel="0" collapsed="false">
      <c r="A8" s="4" t="s">
        <v>39</v>
      </c>
      <c r="B8" s="10" t="s">
        <v>313</v>
      </c>
      <c r="C8" s="4" t="s">
        <v>314</v>
      </c>
      <c r="D8" s="4" t="s">
        <v>316</v>
      </c>
      <c r="E8" s="4" t="s">
        <v>317</v>
      </c>
      <c r="F8" s="32" t="n">
        <v>5</v>
      </c>
      <c r="G8" s="5" t="n">
        <v>45778</v>
      </c>
      <c r="H8" s="5" t="n">
        <v>45828</v>
      </c>
      <c r="I8" s="15" t="n">
        <v>2900</v>
      </c>
      <c r="J8" s="15" t="n">
        <v>2700</v>
      </c>
      <c r="K8" s="15" t="n">
        <v>0</v>
      </c>
      <c r="L8" s="15" t="n">
        <v>0</v>
      </c>
      <c r="M8" s="15" t="n">
        <v>200</v>
      </c>
      <c r="N8" s="12" t="n">
        <f aca="false">I8-J8+L8</f>
        <v>200</v>
      </c>
      <c r="O8" s="33" t="n">
        <f aca="false">ROUND(N8-M8,2)</f>
        <v>0</v>
      </c>
      <c r="P8" s="4" t="s">
        <v>315</v>
      </c>
      <c r="Q8" s="4"/>
      <c r="R8" s="34" t="n">
        <v>8</v>
      </c>
    </row>
    <row r="9" customFormat="false" ht="15" hidden="false" customHeight="false" outlineLevel="0" collapsed="false">
      <c r="A9" s="4" t="s">
        <v>39</v>
      </c>
      <c r="B9" s="10" t="s">
        <v>313</v>
      </c>
      <c r="C9" s="4" t="s">
        <v>314</v>
      </c>
      <c r="D9" s="4" t="s">
        <v>61</v>
      </c>
      <c r="E9" s="4" t="s">
        <v>62</v>
      </c>
      <c r="F9" s="32" t="n">
        <v>10</v>
      </c>
      <c r="G9" s="5" t="n">
        <v>45691</v>
      </c>
      <c r="H9" s="5" t="n">
        <v>45708</v>
      </c>
      <c r="I9" s="15" t="n">
        <v>3100</v>
      </c>
      <c r="J9" s="15" t="n">
        <v>3300</v>
      </c>
      <c r="K9" s="15" t="n">
        <v>0</v>
      </c>
      <c r="L9" s="15" t="n">
        <v>350</v>
      </c>
      <c r="M9" s="15" t="n">
        <v>150</v>
      </c>
      <c r="N9" s="12" t="n">
        <f aca="false">I9-J9+L9</f>
        <v>150</v>
      </c>
      <c r="O9" s="33" t="n">
        <f aca="false">ROUND(N9-M9,2)</f>
        <v>0</v>
      </c>
      <c r="P9" s="4" t="s">
        <v>315</v>
      </c>
      <c r="Q9" s="4" t="s">
        <v>318</v>
      </c>
      <c r="R9" s="34" t="n">
        <v>8</v>
      </c>
    </row>
    <row r="10" customFormat="false" ht="15" hidden="false" customHeight="false" outlineLevel="0" collapsed="false">
      <c r="A10" s="4" t="s">
        <v>39</v>
      </c>
      <c r="B10" s="10" t="s">
        <v>313</v>
      </c>
      <c r="C10" s="4" t="s">
        <v>314</v>
      </c>
      <c r="D10" s="4" t="s">
        <v>61</v>
      </c>
      <c r="E10" s="4" t="s">
        <v>62</v>
      </c>
      <c r="F10" s="32" t="n">
        <v>10</v>
      </c>
      <c r="G10" s="5" t="n">
        <v>45713</v>
      </c>
      <c r="H10" s="5" t="n">
        <v>45810</v>
      </c>
      <c r="I10" s="15" t="n">
        <v>3000</v>
      </c>
      <c r="J10" s="15" t="n">
        <v>3450</v>
      </c>
      <c r="K10" s="15" t="n">
        <v>0</v>
      </c>
      <c r="L10" s="15" t="n">
        <v>0</v>
      </c>
      <c r="M10" s="15" t="n">
        <v>-450</v>
      </c>
      <c r="N10" s="12" t="n">
        <f aca="false">I10-J10+L10</f>
        <v>-450</v>
      </c>
      <c r="O10" s="33" t="n">
        <f aca="false">ROUND(N10-M10,2)</f>
        <v>0</v>
      </c>
      <c r="P10" s="4" t="s">
        <v>315</v>
      </c>
      <c r="Q10" s="4"/>
      <c r="R10" s="34" t="n">
        <v>8</v>
      </c>
    </row>
    <row r="11" customFormat="false" ht="15" hidden="false" customHeight="false" outlineLevel="0" collapsed="false">
      <c r="A11" s="4" t="s">
        <v>39</v>
      </c>
      <c r="B11" s="10" t="s">
        <v>313</v>
      </c>
      <c r="C11" s="4" t="s">
        <v>319</v>
      </c>
      <c r="D11" s="4" t="s">
        <v>320</v>
      </c>
      <c r="E11" s="4" t="s">
        <v>321</v>
      </c>
      <c r="F11" s="32" t="n">
        <v>10000</v>
      </c>
      <c r="G11" s="5" t="n">
        <v>45701</v>
      </c>
      <c r="H11" s="5" t="n">
        <v>45883</v>
      </c>
      <c r="I11" s="15" t="n">
        <v>10000</v>
      </c>
      <c r="J11" s="15" t="n">
        <v>9790</v>
      </c>
      <c r="K11" s="15" t="n">
        <v>0</v>
      </c>
      <c r="L11" s="15" t="n">
        <v>0</v>
      </c>
      <c r="M11" s="15" t="n">
        <v>210</v>
      </c>
      <c r="N11" s="12" t="n">
        <f aca="false">I11-J11+L11</f>
        <v>210</v>
      </c>
      <c r="O11" s="33" t="n">
        <f aca="false">ROUND(N11-M11,2)</f>
        <v>0</v>
      </c>
      <c r="P11" s="4" t="s">
        <v>315</v>
      </c>
      <c r="Q11" s="4" t="s">
        <v>322</v>
      </c>
      <c r="R11" s="34" t="n">
        <v>9</v>
      </c>
    </row>
    <row r="12" customFormat="false" ht="15" hidden="false" customHeight="false" outlineLevel="0" collapsed="false">
      <c r="A12" s="35" t="s">
        <v>323</v>
      </c>
      <c r="B12" s="20" t="s">
        <v>313</v>
      </c>
      <c r="C12" s="4" t="s">
        <v>314</v>
      </c>
      <c r="D12" s="35" t="s">
        <v>324</v>
      </c>
      <c r="E12" s="4" t="s">
        <v>325</v>
      </c>
      <c r="F12" s="32" t="n">
        <v>100</v>
      </c>
      <c r="G12" s="5" t="n">
        <v>45659</v>
      </c>
      <c r="H12" s="5" t="n">
        <v>45931</v>
      </c>
      <c r="I12" s="15" t="n">
        <v>40</v>
      </c>
      <c r="J12" s="15" t="n">
        <v>0</v>
      </c>
      <c r="K12" s="15" t="n">
        <v>0</v>
      </c>
      <c r="L12" s="15" t="n">
        <v>0</v>
      </c>
      <c r="M12" s="15" t="n">
        <v>40</v>
      </c>
      <c r="N12" s="12" t="n">
        <f aca="false">I12-J12+L12</f>
        <v>40</v>
      </c>
      <c r="O12" s="33" t="n">
        <f aca="false">ROUND(N12-M12,2)</f>
        <v>0</v>
      </c>
      <c r="P12" s="4" t="s">
        <v>315</v>
      </c>
      <c r="Q12" s="4" t="s">
        <v>326</v>
      </c>
      <c r="R12" s="34" t="n">
        <v>11</v>
      </c>
    </row>
    <row r="13" customFormat="false" ht="15" hidden="false" customHeight="false" outlineLevel="0" collapsed="false">
      <c r="A13" s="35" t="s">
        <v>323</v>
      </c>
      <c r="B13" s="20" t="s">
        <v>313</v>
      </c>
      <c r="C13" s="4" t="s">
        <v>314</v>
      </c>
      <c r="D13" s="35" t="s">
        <v>327</v>
      </c>
      <c r="E13" s="4" t="s">
        <v>328</v>
      </c>
      <c r="F13" s="32" t="n">
        <v>25</v>
      </c>
      <c r="G13" s="4" t="s">
        <v>329</v>
      </c>
      <c r="H13" s="5" t="n">
        <v>45789</v>
      </c>
      <c r="I13" s="15" t="n">
        <v>4125</v>
      </c>
      <c r="J13" s="4" t="s">
        <v>330</v>
      </c>
      <c r="K13" s="15" t="n">
        <v>0</v>
      </c>
      <c r="L13" s="15" t="n">
        <v>0</v>
      </c>
      <c r="M13" s="4" t="s">
        <v>330</v>
      </c>
      <c r="P13" s="4" t="s">
        <v>315</v>
      </c>
      <c r="Q13" s="4" t="s">
        <v>331</v>
      </c>
      <c r="R13" s="34" t="n">
        <v>11</v>
      </c>
    </row>
    <row r="14" customFormat="false" ht="15" hidden="false" customHeight="false" outlineLevel="0" collapsed="false">
      <c r="A14" s="4" t="s">
        <v>42</v>
      </c>
      <c r="B14" s="10" t="s">
        <v>332</v>
      </c>
      <c r="C14" s="4" t="s">
        <v>314</v>
      </c>
      <c r="D14" s="4" t="s">
        <v>333</v>
      </c>
      <c r="E14" s="4" t="s">
        <v>334</v>
      </c>
      <c r="F14" s="32" t="n">
        <v>40</v>
      </c>
      <c r="G14" s="5" t="n">
        <v>43619</v>
      </c>
      <c r="H14" s="5" t="n">
        <v>45852</v>
      </c>
      <c r="I14" s="15" t="n">
        <v>20100</v>
      </c>
      <c r="J14" s="15" t="n">
        <v>5200</v>
      </c>
      <c r="K14" s="15" t="n">
        <v>0</v>
      </c>
      <c r="L14" s="15" t="n">
        <v>0</v>
      </c>
      <c r="M14" s="15" t="n">
        <v>14900</v>
      </c>
      <c r="N14" s="12" t="n">
        <f aca="false">I14-J14+L14</f>
        <v>14900</v>
      </c>
      <c r="O14" s="33" t="n">
        <f aca="false">ROUND(N14-M14,2)</f>
        <v>0</v>
      </c>
      <c r="P14" s="4" t="s">
        <v>315</v>
      </c>
      <c r="Q14" s="4"/>
      <c r="R14" s="34" t="n">
        <v>10</v>
      </c>
    </row>
    <row r="15" customFormat="false" ht="15" hidden="false" customHeight="false" outlineLevel="0" collapsed="false">
      <c r="A15" s="4" t="s">
        <v>42</v>
      </c>
      <c r="B15" s="10" t="s">
        <v>332</v>
      </c>
      <c r="C15" s="4" t="s">
        <v>314</v>
      </c>
      <c r="D15" s="4" t="s">
        <v>335</v>
      </c>
      <c r="E15" s="4" t="s">
        <v>336</v>
      </c>
      <c r="F15" s="32" t="n">
        <v>100</v>
      </c>
      <c r="G15" s="5" t="n">
        <v>43845</v>
      </c>
      <c r="H15" s="5" t="n">
        <v>45930</v>
      </c>
      <c r="I15" s="15" t="n">
        <v>7300</v>
      </c>
      <c r="J15" s="15" t="n">
        <v>8350</v>
      </c>
      <c r="K15" s="15" t="n">
        <v>0</v>
      </c>
      <c r="L15" s="15" t="n">
        <v>0</v>
      </c>
      <c r="M15" s="15" t="n">
        <v>-1050</v>
      </c>
      <c r="N15" s="12" t="n">
        <f aca="false">I15-J15+L15</f>
        <v>-1050</v>
      </c>
      <c r="O15" s="33" t="n">
        <f aca="false">ROUND(N15-M15,2)</f>
        <v>0</v>
      </c>
      <c r="P15" s="4" t="s">
        <v>315</v>
      </c>
      <c r="Q15" s="4"/>
      <c r="R15" s="34" t="n">
        <v>10</v>
      </c>
    </row>
    <row r="16" customFormat="false" ht="15" hidden="false" customHeight="false" outlineLevel="0" collapsed="false">
      <c r="A16" s="35" t="s">
        <v>337</v>
      </c>
      <c r="B16" s="20" t="s">
        <v>332</v>
      </c>
      <c r="C16" s="4" t="s">
        <v>314</v>
      </c>
      <c r="D16" s="35" t="s">
        <v>338</v>
      </c>
      <c r="E16" s="4" t="s">
        <v>339</v>
      </c>
      <c r="F16" s="32" t="n">
        <v>60</v>
      </c>
      <c r="G16" s="5" t="n">
        <v>39539</v>
      </c>
      <c r="H16" s="5" t="n">
        <v>45887</v>
      </c>
      <c r="I16" s="15" t="n">
        <v>4200</v>
      </c>
      <c r="J16" s="15" t="n">
        <v>1500</v>
      </c>
      <c r="K16" s="15" t="n">
        <v>0</v>
      </c>
      <c r="L16" s="15" t="n">
        <v>0</v>
      </c>
      <c r="M16" s="15" t="n">
        <v>2700</v>
      </c>
      <c r="N16" s="12" t="n">
        <f aca="false">I16-J16+L16</f>
        <v>2700</v>
      </c>
      <c r="O16" s="33" t="n">
        <f aca="false">ROUND(N16-M16,2)</f>
        <v>0</v>
      </c>
      <c r="P16" s="4" t="s">
        <v>315</v>
      </c>
      <c r="Q16" s="4" t="s">
        <v>340</v>
      </c>
      <c r="R16" s="34" t="n">
        <v>12</v>
      </c>
    </row>
    <row r="17" customFormat="false" ht="15" hidden="false" customHeight="false" outlineLevel="0" collapsed="false">
      <c r="A17" s="35" t="s">
        <v>341</v>
      </c>
      <c r="B17" s="20" t="s">
        <v>342</v>
      </c>
      <c r="C17" s="4" t="s">
        <v>314</v>
      </c>
      <c r="D17" s="35" t="s">
        <v>343</v>
      </c>
      <c r="E17" s="4" t="s">
        <v>344</v>
      </c>
      <c r="F17" s="32" t="n">
        <v>75</v>
      </c>
      <c r="G17" s="4" t="s">
        <v>330</v>
      </c>
      <c r="H17" s="5" t="n">
        <v>45996</v>
      </c>
      <c r="I17" s="15" t="n">
        <v>2600</v>
      </c>
      <c r="J17" s="4" t="s">
        <v>330</v>
      </c>
      <c r="K17" s="15" t="n">
        <v>0</v>
      </c>
      <c r="L17" s="15" t="n">
        <v>0</v>
      </c>
      <c r="M17" s="4" t="s">
        <v>330</v>
      </c>
      <c r="P17" s="4" t="s">
        <v>315</v>
      </c>
      <c r="Q17" s="4" t="s">
        <v>345</v>
      </c>
      <c r="R17" s="34" t="n">
        <v>13</v>
      </c>
    </row>
    <row r="19" customFormat="false" ht="15" hidden="false" customHeight="false" outlineLevel="0" collapsed="false">
      <c r="D19" s="3" t="s">
        <v>346</v>
      </c>
      <c r="O19" s="16" t="n">
        <f aca="false">ROUND(SUMPRODUCT(ABS($O$5:$O$17)),2)</f>
        <v>0</v>
      </c>
    </row>
    <row r="21" customFormat="false" ht="15" hidden="false" customHeight="false" outlineLevel="0" collapsed="false">
      <c r="A21" s="8" t="s">
        <v>347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customFormat="false" ht="23.85" hidden="false" customHeight="false" outlineLevel="0" collapsed="false">
      <c r="A22" s="6" t="s">
        <v>74</v>
      </c>
      <c r="D22" s="7" t="s">
        <v>348</v>
      </c>
      <c r="F22" s="7" t="s">
        <v>77</v>
      </c>
      <c r="I22" s="7" t="s">
        <v>304</v>
      </c>
      <c r="J22" s="7" t="s">
        <v>305</v>
      </c>
      <c r="K22" s="7" t="s">
        <v>306</v>
      </c>
      <c r="L22" s="7" t="s">
        <v>307</v>
      </c>
      <c r="M22" s="7" t="s">
        <v>308</v>
      </c>
      <c r="N22" s="7" t="s">
        <v>309</v>
      </c>
    </row>
    <row r="23" customFormat="false" ht="15" hidden="false" customHeight="false" outlineLevel="0" collapsed="false">
      <c r="A23" s="3" t="s">
        <v>39</v>
      </c>
      <c r="D23" s="10" t="s">
        <v>349</v>
      </c>
      <c r="F23" s="36" t="n">
        <f aca="false">COUNTIF($A$5:$A$17,$A23)</f>
        <v>7</v>
      </c>
      <c r="I23" s="12" t="n">
        <f aca="false">SUMIFS($I$5:$I$17,$A$5:$A$17,$A23)</f>
        <v>41200</v>
      </c>
      <c r="J23" s="12" t="n">
        <f aca="false">SUMIFS($J$5:$J$17,$A$5:$A$17,$A23)</f>
        <v>42290</v>
      </c>
      <c r="K23" s="12" t="n">
        <f aca="false">SUMIFS($K$5:$K$17,$A$5:$A$17,$A23)</f>
        <v>0</v>
      </c>
      <c r="L23" s="12" t="n">
        <f aca="false">SUMIFS($L$5:$L$17,$A$5:$A$17,$A23)</f>
        <v>850</v>
      </c>
      <c r="M23" s="12" t="n">
        <f aca="false">SUMIFS($M$5:$M$17,$A$5:$A$17,$A23)</f>
        <v>-240</v>
      </c>
      <c r="N23" s="12" t="n">
        <f aca="false">SUMIFS($N$5:$N$17,$A$5:$A$17,$A23)</f>
        <v>-240</v>
      </c>
    </row>
    <row r="24" customFormat="false" ht="15" hidden="false" customHeight="false" outlineLevel="0" collapsed="false">
      <c r="A24" s="23" t="s">
        <v>323</v>
      </c>
      <c r="D24" s="10" t="s">
        <v>350</v>
      </c>
      <c r="F24" s="36" t="n">
        <f aca="false">COUNTIF($A$5:$A$17,$A24)</f>
        <v>2</v>
      </c>
      <c r="I24" s="12" t="n">
        <f aca="false">SUMIFS($I$5:$I$17,$A$5:$A$17,$A24)</f>
        <v>4165</v>
      </c>
      <c r="J24" s="12" t="n">
        <f aca="false">SUMIFS($J$5:$J$17,$A$5:$A$17,$A24)</f>
        <v>0</v>
      </c>
      <c r="K24" s="12" t="n">
        <f aca="false">SUMIFS($K$5:$K$17,$A$5:$A$17,$A24)</f>
        <v>0</v>
      </c>
      <c r="L24" s="12" t="n">
        <f aca="false">SUMIFS($L$5:$L$17,$A$5:$A$17,$A24)</f>
        <v>0</v>
      </c>
      <c r="M24" s="12" t="n">
        <f aca="false">SUMIFS($M$5:$M$17,$A$5:$A$17,$A24)</f>
        <v>40</v>
      </c>
      <c r="N24" s="12" t="n">
        <f aca="false">SUMIFS($N$5:$N$17,$A$5:$A$17,$A24)</f>
        <v>40</v>
      </c>
    </row>
    <row r="25" customFormat="false" ht="15" hidden="false" customHeight="false" outlineLevel="0" collapsed="false">
      <c r="A25" s="3" t="s">
        <v>42</v>
      </c>
      <c r="D25" s="10" t="s">
        <v>351</v>
      </c>
      <c r="F25" s="36" t="n">
        <f aca="false">COUNTIF($A$5:$A$17,$A25)</f>
        <v>2</v>
      </c>
      <c r="I25" s="12" t="n">
        <f aca="false">SUMIFS($I$5:$I$17,$A$5:$A$17,$A25)</f>
        <v>27400</v>
      </c>
      <c r="J25" s="12" t="n">
        <f aca="false">SUMIFS($J$5:$J$17,$A$5:$A$17,$A25)</f>
        <v>13550</v>
      </c>
      <c r="K25" s="12" t="n">
        <f aca="false">SUMIFS($K$5:$K$17,$A$5:$A$17,$A25)</f>
        <v>0</v>
      </c>
      <c r="L25" s="12" t="n">
        <f aca="false">SUMIFS($L$5:$L$17,$A$5:$A$17,$A25)</f>
        <v>0</v>
      </c>
      <c r="M25" s="12" t="n">
        <f aca="false">SUMIFS($M$5:$M$17,$A$5:$A$17,$A25)</f>
        <v>13850</v>
      </c>
      <c r="N25" s="12" t="n">
        <f aca="false">SUMIFS($N$5:$N$17,$A$5:$A$17,$A25)</f>
        <v>13850</v>
      </c>
    </row>
    <row r="26" customFormat="false" ht="15" hidden="false" customHeight="false" outlineLevel="0" collapsed="false">
      <c r="A26" s="23" t="s">
        <v>337</v>
      </c>
      <c r="D26" s="10" t="s">
        <v>352</v>
      </c>
      <c r="F26" s="36" t="n">
        <f aca="false">COUNTIF($A$5:$A$17,$A26)</f>
        <v>1</v>
      </c>
      <c r="I26" s="12" t="n">
        <f aca="false">SUMIFS($I$5:$I$17,$A$5:$A$17,$A26)</f>
        <v>4200</v>
      </c>
      <c r="J26" s="12" t="n">
        <f aca="false">SUMIFS($J$5:$J$17,$A$5:$A$17,$A26)</f>
        <v>1500</v>
      </c>
      <c r="K26" s="12" t="n">
        <f aca="false">SUMIFS($K$5:$K$17,$A$5:$A$17,$A26)</f>
        <v>0</v>
      </c>
      <c r="L26" s="12" t="n">
        <f aca="false">SUMIFS($L$5:$L$17,$A$5:$A$17,$A26)</f>
        <v>0</v>
      </c>
      <c r="M26" s="12" t="n">
        <f aca="false">SUMIFS($M$5:$M$17,$A$5:$A$17,$A26)</f>
        <v>2700</v>
      </c>
      <c r="N26" s="12" t="n">
        <f aca="false">SUMIFS($N$5:$N$17,$A$5:$A$17,$A26)</f>
        <v>2700</v>
      </c>
    </row>
    <row r="27" customFormat="false" ht="15" hidden="false" customHeight="false" outlineLevel="0" collapsed="false">
      <c r="A27" s="23" t="s">
        <v>341</v>
      </c>
      <c r="D27" s="10" t="s">
        <v>353</v>
      </c>
      <c r="F27" s="36" t="n">
        <f aca="false">COUNTIF($A$5:$A$17,$A27)</f>
        <v>1</v>
      </c>
      <c r="I27" s="12" t="n">
        <f aca="false">SUMIFS($I$5:$I$17,$A$5:$A$17,$A27)</f>
        <v>2600</v>
      </c>
      <c r="J27" s="12" t="n">
        <f aca="false">SUMIFS($J$5:$J$17,$A$5:$A$17,$A27)</f>
        <v>0</v>
      </c>
      <c r="K27" s="12" t="n">
        <f aca="false">SUMIFS($K$5:$K$17,$A$5:$A$17,$A27)</f>
        <v>0</v>
      </c>
      <c r="L27" s="12" t="n">
        <f aca="false">SUMIFS($L$5:$L$17,$A$5:$A$17,$A27)</f>
        <v>0</v>
      </c>
      <c r="M27" s="12" t="n">
        <f aca="false">SUMIFS($M$5:$M$17,$A$5:$A$17,$A27)</f>
        <v>0</v>
      </c>
      <c r="N27" s="12" t="n">
        <f aca="false">SUMIFS($N$5:$N$17,$A$5:$A$17,$A27)</f>
        <v>0</v>
      </c>
    </row>
    <row r="28" customFormat="false" ht="15" hidden="false" customHeight="false" outlineLevel="0" collapsed="false">
      <c r="A28" s="3" t="s">
        <v>63</v>
      </c>
      <c r="F28" s="18" t="n">
        <f aca="false">SUM(F23:F27)</f>
        <v>13</v>
      </c>
      <c r="I28" s="14" t="n">
        <f aca="false">SUM(I23:I27)</f>
        <v>79565</v>
      </c>
      <c r="J28" s="14" t="n">
        <f aca="false">SUM(J23:J27)</f>
        <v>57340</v>
      </c>
      <c r="K28" s="14" t="n">
        <f aca="false">SUM(K23:K27)</f>
        <v>0</v>
      </c>
      <c r="L28" s="14" t="n">
        <f aca="false">SUM(L23:L27)</f>
        <v>850</v>
      </c>
      <c r="M28" s="14" t="n">
        <f aca="false">SUM(M23:M27)</f>
        <v>16350</v>
      </c>
      <c r="N28" s="14" t="n">
        <f aca="false">SUM(N23:N27)</f>
        <v>16350</v>
      </c>
    </row>
    <row r="30" customFormat="false" ht="15" hidden="false" customHeight="false" outlineLevel="0" collapsed="false">
      <c r="A30" s="8" t="s">
        <v>354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23.85" hidden="false" customHeight="false" outlineLevel="0" collapsed="false">
      <c r="A31" s="6" t="s">
        <v>74</v>
      </c>
      <c r="D31" s="7" t="s">
        <v>355</v>
      </c>
      <c r="I31" s="7" t="s">
        <v>304</v>
      </c>
      <c r="J31" s="7" t="s">
        <v>305</v>
      </c>
      <c r="K31" s="7" t="s">
        <v>306</v>
      </c>
      <c r="L31" s="7" t="s">
        <v>307</v>
      </c>
      <c r="M31" s="7" t="s">
        <v>308</v>
      </c>
    </row>
    <row r="32" customFormat="false" ht="15" hidden="false" customHeight="false" outlineLevel="0" collapsed="false">
      <c r="A32" s="3" t="s">
        <v>39</v>
      </c>
      <c r="D32" s="10" t="s">
        <v>356</v>
      </c>
      <c r="I32" s="15" t="n">
        <v>41200</v>
      </c>
      <c r="J32" s="15" t="n">
        <v>42290</v>
      </c>
      <c r="K32" s="15" t="n">
        <v>0</v>
      </c>
      <c r="L32" s="15" t="n">
        <v>850</v>
      </c>
      <c r="M32" s="15" t="n">
        <v>-240</v>
      </c>
    </row>
    <row r="33" customFormat="false" ht="15" hidden="false" customHeight="false" outlineLevel="0" collapsed="false">
      <c r="A33" s="3" t="s">
        <v>323</v>
      </c>
      <c r="D33" s="10" t="s">
        <v>356</v>
      </c>
      <c r="I33" s="15" t="n">
        <v>4165</v>
      </c>
      <c r="J33" s="4" t="s">
        <v>330</v>
      </c>
      <c r="K33" s="15" t="n">
        <v>0</v>
      </c>
      <c r="L33" s="15" t="n">
        <v>0</v>
      </c>
      <c r="M33" s="15" t="n">
        <v>40</v>
      </c>
    </row>
    <row r="34" customFormat="false" ht="15" hidden="false" customHeight="false" outlineLevel="0" collapsed="false">
      <c r="A34" s="3" t="s">
        <v>42</v>
      </c>
      <c r="D34" s="10" t="s">
        <v>356</v>
      </c>
      <c r="I34" s="15" t="n">
        <v>27400</v>
      </c>
      <c r="J34" s="15" t="n">
        <v>13550</v>
      </c>
      <c r="K34" s="15" t="n">
        <v>0</v>
      </c>
      <c r="L34" s="15" t="n">
        <v>0</v>
      </c>
      <c r="M34" s="15" t="n">
        <v>13850</v>
      </c>
    </row>
    <row r="35" customFormat="false" ht="15" hidden="false" customHeight="false" outlineLevel="0" collapsed="false">
      <c r="A35" s="3" t="s">
        <v>337</v>
      </c>
      <c r="D35" s="10" t="s">
        <v>356</v>
      </c>
      <c r="I35" s="15" t="n">
        <v>4200</v>
      </c>
      <c r="J35" s="15" t="n">
        <v>1500</v>
      </c>
      <c r="K35" s="15" t="n">
        <v>0</v>
      </c>
      <c r="L35" s="15" t="n">
        <v>0</v>
      </c>
      <c r="M35" s="15" t="n">
        <v>2700</v>
      </c>
    </row>
    <row r="36" customFormat="false" ht="15" hidden="false" customHeight="false" outlineLevel="0" collapsed="false">
      <c r="A36" s="3" t="s">
        <v>341</v>
      </c>
      <c r="D36" s="10" t="s">
        <v>356</v>
      </c>
      <c r="I36" s="15" t="n">
        <v>2600</v>
      </c>
      <c r="J36" s="4" t="s">
        <v>330</v>
      </c>
      <c r="K36" s="15" t="n">
        <v>0</v>
      </c>
      <c r="L36" s="15" t="n">
        <v>0</v>
      </c>
      <c r="M36" s="4" t="s">
        <v>330</v>
      </c>
    </row>
    <row r="38" customFormat="false" ht="15" hidden="false" customHeight="false" outlineLevel="0" collapsed="false">
      <c r="A38" s="8" t="s">
        <v>357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customFormat="false" ht="23.85" hidden="false" customHeight="false" outlineLevel="0" collapsed="false">
      <c r="A39" s="6" t="s">
        <v>74</v>
      </c>
      <c r="I39" s="7" t="s">
        <v>75</v>
      </c>
      <c r="J39" s="7" t="s">
        <v>91</v>
      </c>
      <c r="K39" s="7" t="s">
        <v>306</v>
      </c>
      <c r="L39" s="7" t="s">
        <v>358</v>
      </c>
      <c r="M39" s="7" t="s">
        <v>359</v>
      </c>
    </row>
    <row r="40" customFormat="false" ht="15" hidden="false" customHeight="false" outlineLevel="0" collapsed="false">
      <c r="A40" s="3" t="s">
        <v>39</v>
      </c>
      <c r="I40" s="16" t="n">
        <f aca="false">ROUND(I23-N(I32),2)</f>
        <v>0</v>
      </c>
      <c r="J40" s="16" t="n">
        <f aca="false">ROUND(J23-N(J32),2)</f>
        <v>0</v>
      </c>
      <c r="K40" s="16" t="n">
        <f aca="false">ROUND(K23-N(K32),2)</f>
        <v>0</v>
      </c>
      <c r="L40" s="16" t="n">
        <f aca="false">ROUND(L23-N(L32),2)</f>
        <v>0</v>
      </c>
      <c r="M40" s="16" t="n">
        <f aca="false">ROUND(M23-N(M32),2)</f>
        <v>0</v>
      </c>
    </row>
    <row r="41" customFormat="false" ht="15" hidden="false" customHeight="false" outlineLevel="0" collapsed="false">
      <c r="A41" s="3" t="s">
        <v>323</v>
      </c>
      <c r="I41" s="16" t="n">
        <f aca="false">ROUND(I24-N(I33),2)</f>
        <v>0</v>
      </c>
      <c r="J41" s="16" t="n">
        <f aca="false">ROUND(J24-N(J33),2)</f>
        <v>0</v>
      </c>
      <c r="K41" s="16" t="n">
        <f aca="false">ROUND(K24-N(K33),2)</f>
        <v>0</v>
      </c>
      <c r="L41" s="16" t="n">
        <f aca="false">ROUND(L24-N(L33),2)</f>
        <v>0</v>
      </c>
      <c r="M41" s="16" t="n">
        <f aca="false">ROUND(M24-N(M33),2)</f>
        <v>0</v>
      </c>
    </row>
    <row r="42" customFormat="false" ht="15" hidden="false" customHeight="false" outlineLevel="0" collapsed="false">
      <c r="A42" s="3" t="s">
        <v>42</v>
      </c>
      <c r="I42" s="16" t="n">
        <f aca="false">ROUND(I25-N(I34),2)</f>
        <v>0</v>
      </c>
      <c r="J42" s="16" t="n">
        <f aca="false">ROUND(J25-N(J34),2)</f>
        <v>0</v>
      </c>
      <c r="K42" s="16" t="n">
        <f aca="false">ROUND(K25-N(K34),2)</f>
        <v>0</v>
      </c>
      <c r="L42" s="16" t="n">
        <f aca="false">ROUND(L25-N(L34),2)</f>
        <v>0</v>
      </c>
      <c r="M42" s="16" t="n">
        <f aca="false">ROUND(M25-N(M34),2)</f>
        <v>0</v>
      </c>
    </row>
    <row r="43" customFormat="false" ht="15" hidden="false" customHeight="false" outlineLevel="0" collapsed="false">
      <c r="A43" s="3" t="s">
        <v>337</v>
      </c>
      <c r="I43" s="16" t="n">
        <f aca="false">ROUND(I26-N(I35),2)</f>
        <v>0</v>
      </c>
      <c r="J43" s="16" t="n">
        <f aca="false">ROUND(J26-N(J35),2)</f>
        <v>0</v>
      </c>
      <c r="K43" s="16" t="n">
        <f aca="false">ROUND(K26-N(K35),2)</f>
        <v>0</v>
      </c>
      <c r="L43" s="16" t="n">
        <f aca="false">ROUND(L26-N(L35),2)</f>
        <v>0</v>
      </c>
      <c r="M43" s="16" t="n">
        <f aca="false">ROUND(M26-N(M35),2)</f>
        <v>0</v>
      </c>
    </row>
    <row r="44" customFormat="false" ht="15" hidden="false" customHeight="false" outlineLevel="0" collapsed="false">
      <c r="A44" s="3" t="s">
        <v>341</v>
      </c>
      <c r="I44" s="16" t="n">
        <f aca="false">ROUND(I27-N(I36),2)</f>
        <v>0</v>
      </c>
      <c r="J44" s="16" t="n">
        <f aca="false">ROUND(J27-N(J36),2)</f>
        <v>0</v>
      </c>
      <c r="K44" s="16" t="n">
        <f aca="false">ROUND(K27-N(K36),2)</f>
        <v>0</v>
      </c>
      <c r="L44" s="16" t="n">
        <f aca="false">ROUND(L27-N(L36),2)</f>
        <v>0</v>
      </c>
      <c r="M44" s="16" t="n">
        <f aca="false">ROUND(M27-N(M36),2)</f>
        <v>0</v>
      </c>
    </row>
    <row r="46" customFormat="false" ht="15" hidden="false" customHeight="false" outlineLevel="0" collapsed="false">
      <c r="A46" s="8" t="s">
        <v>360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customFormat="false" ht="23.85" hidden="false" customHeight="false" outlineLevel="0" collapsed="false">
      <c r="A47" s="6" t="s">
        <v>74</v>
      </c>
      <c r="C47" s="7" t="s">
        <v>303</v>
      </c>
      <c r="D47" s="7" t="s">
        <v>361</v>
      </c>
      <c r="F47" s="7" t="s">
        <v>77</v>
      </c>
      <c r="I47" s="7" t="s">
        <v>304</v>
      </c>
      <c r="J47" s="7" t="s">
        <v>305</v>
      </c>
      <c r="K47" s="7" t="s">
        <v>306</v>
      </c>
      <c r="L47" s="7" t="s">
        <v>307</v>
      </c>
      <c r="M47" s="7" t="s">
        <v>362</v>
      </c>
    </row>
    <row r="48" customFormat="false" ht="15" hidden="false" customHeight="false" outlineLevel="0" collapsed="false">
      <c r="A48" s="3" t="s">
        <v>39</v>
      </c>
      <c r="C48" s="10" t="s">
        <v>314</v>
      </c>
      <c r="D48" s="10" t="s">
        <v>363</v>
      </c>
      <c r="F48" s="36" t="n">
        <f aca="false">COUNTIFS($A$5:$A$17,$A48,$C$5:$C$17,$C48)</f>
        <v>6</v>
      </c>
      <c r="I48" s="12" t="n">
        <f aca="false">SUMIFS($I$5:$I$17,$A$5:$A$17,$A48,$C$5:$C$17,$C48)</f>
        <v>31200</v>
      </c>
      <c r="J48" s="12" t="n">
        <f aca="false">SUMIFS($J$5:$J$17,$A$5:$A$17,$A48,$C$5:$C$17,$C48)</f>
        <v>32500</v>
      </c>
      <c r="K48" s="12" t="n">
        <f aca="false">SUMIFS($K$5:$K$17,$A$5:$A$17,$A48,$C$5:$C$17,$C48)</f>
        <v>0</v>
      </c>
      <c r="L48" s="12" t="n">
        <f aca="false">SUMIFS($L$5:$L$17,$A$5:$A$17,$A48,$C$5:$C$17,$C48)</f>
        <v>850</v>
      </c>
      <c r="M48" s="12" t="n">
        <f aca="false">I48-J48+L48</f>
        <v>-450</v>
      </c>
    </row>
    <row r="49" customFormat="false" ht="15" hidden="false" customHeight="false" outlineLevel="0" collapsed="false">
      <c r="A49" s="3" t="s">
        <v>39</v>
      </c>
      <c r="C49" s="10" t="s">
        <v>319</v>
      </c>
      <c r="D49" s="10" t="s">
        <v>364</v>
      </c>
      <c r="F49" s="36" t="n">
        <f aca="false">COUNTIFS($A$5:$A$17,$A49,$C$5:$C$17,$C49)</f>
        <v>1</v>
      </c>
      <c r="I49" s="12" t="n">
        <f aca="false">SUMIFS($I$5:$I$17,$A$5:$A$17,$A49,$C$5:$C$17,$C49)</f>
        <v>10000</v>
      </c>
      <c r="J49" s="12" t="n">
        <f aca="false">SUMIFS($J$5:$J$17,$A$5:$A$17,$A49,$C$5:$C$17,$C49)</f>
        <v>9790</v>
      </c>
      <c r="K49" s="12" t="n">
        <f aca="false">SUMIFS($K$5:$K$17,$A$5:$A$17,$A49,$C$5:$C$17,$C49)</f>
        <v>0</v>
      </c>
      <c r="L49" s="12" t="n">
        <f aca="false">SUMIFS($L$5:$L$17,$A$5:$A$17,$A49,$C$5:$C$17,$C49)</f>
        <v>0</v>
      </c>
      <c r="M49" s="12" t="n">
        <f aca="false">I49-J49+L49</f>
        <v>210</v>
      </c>
    </row>
    <row r="50" customFormat="false" ht="15" hidden="false" customHeight="false" outlineLevel="0" collapsed="false">
      <c r="A50" s="3" t="s">
        <v>42</v>
      </c>
      <c r="C50" s="10" t="s">
        <v>314</v>
      </c>
      <c r="D50" s="10" t="s">
        <v>365</v>
      </c>
      <c r="F50" s="36" t="n">
        <f aca="false">COUNTIFS($A$5:$A$17,$A50,$C$5:$C$17,$C50)</f>
        <v>2</v>
      </c>
      <c r="I50" s="12" t="n">
        <f aca="false">SUMIFS($I$5:$I$17,$A$5:$A$17,$A50,$C$5:$C$17,$C50)</f>
        <v>27400</v>
      </c>
      <c r="J50" s="12" t="n">
        <f aca="false">SUMIFS($J$5:$J$17,$A$5:$A$17,$A50,$C$5:$C$17,$C50)</f>
        <v>13550</v>
      </c>
      <c r="K50" s="12" t="n">
        <f aca="false">SUMIFS($K$5:$K$17,$A$5:$A$17,$A50,$C$5:$C$17,$C50)</f>
        <v>0</v>
      </c>
      <c r="L50" s="12" t="n">
        <f aca="false">SUMIFS($L$5:$L$17,$A$5:$A$17,$A50,$C$5:$C$17,$C50)</f>
        <v>0</v>
      </c>
      <c r="M50" s="12" t="n">
        <f aca="false">I50-J50+L50</f>
        <v>13850</v>
      </c>
    </row>
  </sheetData>
  <autoFilter ref="A4:R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17.35" hidden="false" customHeight="false" outlineLevel="0" collapsed="false">
      <c r="A1" s="1" t="s">
        <v>366</v>
      </c>
    </row>
    <row r="2" customFormat="false" ht="15" hidden="false" customHeight="false" outlineLevel="0" collapsed="false">
      <c r="A2" s="2" t="s">
        <v>367</v>
      </c>
    </row>
    <row r="4" customFormat="false" ht="23.85" hidden="false" customHeight="false" outlineLevel="0" collapsed="false">
      <c r="A4" s="6" t="s">
        <v>87</v>
      </c>
      <c r="B4" s="7" t="s">
        <v>56</v>
      </c>
      <c r="C4" s="7" t="s">
        <v>77</v>
      </c>
      <c r="D4" s="7" t="s">
        <v>75</v>
      </c>
      <c r="E4" s="7" t="s">
        <v>368</v>
      </c>
      <c r="F4" s="7" t="s">
        <v>358</v>
      </c>
      <c r="G4" s="7" t="s">
        <v>369</v>
      </c>
      <c r="H4" s="7" t="s">
        <v>370</v>
      </c>
    </row>
    <row r="5" customFormat="false" ht="15" hidden="false" customHeight="false" outlineLevel="0" collapsed="false">
      <c r="A5" s="10" t="s">
        <v>324</v>
      </c>
      <c r="B5" s="10" t="s">
        <v>325</v>
      </c>
      <c r="C5" s="36" t="n">
        <f aca="false">SUMPRODUCT(--('1099-B Lots'!$E$5:$E$17=$B5))</f>
        <v>1</v>
      </c>
      <c r="D5" s="12" t="n">
        <f aca="false">SUMPRODUCT(--('1099-B Lots'!$E$5:$E$17=$B5),'1099-B Lots'!$I$5:$I$17)</f>
        <v>40</v>
      </c>
      <c r="E5" s="12" t="n">
        <f aca="false">SUMPRODUCT(--('1099-B Lots'!$E$5:$E$17=$B5),'1099-B Lots'!$J$5:$J$17)</f>
        <v>0</v>
      </c>
      <c r="F5" s="12" t="n">
        <f aca="false">SUMPRODUCT(--('1099-B Lots'!$E$5:$E$17=$B5),'1099-B Lots'!$L$5:$L$17)</f>
        <v>0</v>
      </c>
      <c r="G5" s="12" t="n">
        <f aca="false">SUMPRODUCT(--('1099-B Lots'!$E$5:$E$17=$B5),'1099-B Lots'!$M$5:$M$17)</f>
        <v>40</v>
      </c>
      <c r="H5" s="12" t="n">
        <f aca="false">SUMPRODUCT(--('1099-B Lots'!$E$5:$E$17=$B5),'1099-B Lots'!$N$5:$N$17)</f>
        <v>40</v>
      </c>
    </row>
    <row r="6" customFormat="false" ht="15" hidden="false" customHeight="false" outlineLevel="0" collapsed="false">
      <c r="A6" s="10" t="s">
        <v>59</v>
      </c>
      <c r="B6" s="10" t="s">
        <v>60</v>
      </c>
      <c r="C6" s="36" t="n">
        <f aca="false">SUMPRODUCT(--('1099-B Lots'!$E$5:$E$17=$B6))</f>
        <v>3</v>
      </c>
      <c r="D6" s="12" t="n">
        <f aca="false">SUMPRODUCT(--('1099-B Lots'!$E$5:$E$17=$B6),'1099-B Lots'!$I$5:$I$17)</f>
        <v>22200</v>
      </c>
      <c r="E6" s="12" t="n">
        <f aca="false">SUMPRODUCT(--('1099-B Lots'!$E$5:$E$17=$B6),'1099-B Lots'!$J$5:$J$17)</f>
        <v>23050</v>
      </c>
      <c r="F6" s="12" t="n">
        <f aca="false">SUMPRODUCT(--('1099-B Lots'!$E$5:$E$17=$B6),'1099-B Lots'!$L$5:$L$17)</f>
        <v>500</v>
      </c>
      <c r="G6" s="12" t="n">
        <f aca="false">SUMPRODUCT(--('1099-B Lots'!$E$5:$E$17=$B6),'1099-B Lots'!$M$5:$M$17)</f>
        <v>-350</v>
      </c>
      <c r="H6" s="12" t="n">
        <f aca="false">SUMPRODUCT(--('1099-B Lots'!$E$5:$E$17=$B6),'1099-B Lots'!$N$5:$N$17)</f>
        <v>-350</v>
      </c>
    </row>
    <row r="7" customFormat="false" ht="15" hidden="false" customHeight="false" outlineLevel="0" collapsed="false">
      <c r="A7" s="10" t="s">
        <v>338</v>
      </c>
      <c r="B7" s="10" t="s">
        <v>339</v>
      </c>
      <c r="C7" s="36" t="n">
        <f aca="false">SUMPRODUCT(--('1099-B Lots'!$E$5:$E$17=$B7))</f>
        <v>1</v>
      </c>
      <c r="D7" s="12" t="n">
        <f aca="false">SUMPRODUCT(--('1099-B Lots'!$E$5:$E$17=$B7),'1099-B Lots'!$I$5:$I$17)</f>
        <v>4200</v>
      </c>
      <c r="E7" s="12" t="n">
        <f aca="false">SUMPRODUCT(--('1099-B Lots'!$E$5:$E$17=$B7),'1099-B Lots'!$J$5:$J$17)</f>
        <v>1500</v>
      </c>
      <c r="F7" s="12" t="n">
        <f aca="false">SUMPRODUCT(--('1099-B Lots'!$E$5:$E$17=$B7),'1099-B Lots'!$L$5:$L$17)</f>
        <v>0</v>
      </c>
      <c r="G7" s="12" t="n">
        <f aca="false">SUMPRODUCT(--('1099-B Lots'!$E$5:$E$17=$B7),'1099-B Lots'!$M$5:$M$17)</f>
        <v>2700</v>
      </c>
      <c r="H7" s="12" t="n">
        <f aca="false">SUMPRODUCT(--('1099-B Lots'!$E$5:$E$17=$B7),'1099-B Lots'!$N$5:$N$17)</f>
        <v>2700</v>
      </c>
    </row>
    <row r="8" customFormat="false" ht="15" hidden="false" customHeight="false" outlineLevel="0" collapsed="false">
      <c r="A8" s="10" t="s">
        <v>327</v>
      </c>
      <c r="B8" s="10" t="s">
        <v>328</v>
      </c>
      <c r="C8" s="36" t="n">
        <f aca="false">SUMPRODUCT(--('1099-B Lots'!$E$5:$E$17=$B8))</f>
        <v>1</v>
      </c>
      <c r="D8" s="12" t="n">
        <f aca="false">SUMPRODUCT(--('1099-B Lots'!$E$5:$E$17=$B8),'1099-B Lots'!$I$5:$I$17)</f>
        <v>4125</v>
      </c>
      <c r="E8" s="12" t="n">
        <f aca="false">SUMPRODUCT(--('1099-B Lots'!$E$5:$E$17=$B8),'1099-B Lots'!$J$5:$J$17)</f>
        <v>0</v>
      </c>
      <c r="F8" s="12" t="n">
        <f aca="false">SUMPRODUCT(--('1099-B Lots'!$E$5:$E$17=$B8),'1099-B Lots'!$L$5:$L$17)</f>
        <v>0</v>
      </c>
      <c r="G8" s="12" t="n">
        <f aca="false">SUMPRODUCT(--('1099-B Lots'!$E$5:$E$17=$B8),'1099-B Lots'!$M$5:$M$17)</f>
        <v>0</v>
      </c>
      <c r="H8" s="12" t="n">
        <f aca="false">SUMPRODUCT(--('1099-B Lots'!$E$5:$E$17=$B8),'1099-B Lots'!$N$5:$N$17)</f>
        <v>0</v>
      </c>
    </row>
    <row r="9" customFormat="false" ht="15" hidden="false" customHeight="false" outlineLevel="0" collapsed="false">
      <c r="A9" s="10" t="s">
        <v>333</v>
      </c>
      <c r="B9" s="10" t="s">
        <v>334</v>
      </c>
      <c r="C9" s="36" t="n">
        <f aca="false">SUMPRODUCT(--('1099-B Lots'!$E$5:$E$17=$B9))</f>
        <v>1</v>
      </c>
      <c r="D9" s="12" t="n">
        <f aca="false">SUMPRODUCT(--('1099-B Lots'!$E$5:$E$17=$B9),'1099-B Lots'!$I$5:$I$17)</f>
        <v>20100</v>
      </c>
      <c r="E9" s="12" t="n">
        <f aca="false">SUMPRODUCT(--('1099-B Lots'!$E$5:$E$17=$B9),'1099-B Lots'!$J$5:$J$17)</f>
        <v>5200</v>
      </c>
      <c r="F9" s="12" t="n">
        <f aca="false">SUMPRODUCT(--('1099-B Lots'!$E$5:$E$17=$B9),'1099-B Lots'!$L$5:$L$17)</f>
        <v>0</v>
      </c>
      <c r="G9" s="12" t="n">
        <f aca="false">SUMPRODUCT(--('1099-B Lots'!$E$5:$E$17=$B9),'1099-B Lots'!$M$5:$M$17)</f>
        <v>14900</v>
      </c>
      <c r="H9" s="12" t="n">
        <f aca="false">SUMPRODUCT(--('1099-B Lots'!$E$5:$E$17=$B9),'1099-B Lots'!$N$5:$N$17)</f>
        <v>14900</v>
      </c>
    </row>
    <row r="10" customFormat="false" ht="15" hidden="false" customHeight="false" outlineLevel="0" collapsed="false">
      <c r="A10" s="10" t="s">
        <v>343</v>
      </c>
      <c r="B10" s="10" t="s">
        <v>344</v>
      </c>
      <c r="C10" s="36" t="n">
        <f aca="false">SUMPRODUCT(--('1099-B Lots'!$E$5:$E$17=$B10))</f>
        <v>1</v>
      </c>
      <c r="D10" s="12" t="n">
        <f aca="false">SUMPRODUCT(--('1099-B Lots'!$E$5:$E$17=$B10),'1099-B Lots'!$I$5:$I$17)</f>
        <v>2600</v>
      </c>
      <c r="E10" s="12" t="n">
        <f aca="false">SUMPRODUCT(--('1099-B Lots'!$E$5:$E$17=$B10),'1099-B Lots'!$J$5:$J$17)</f>
        <v>0</v>
      </c>
      <c r="F10" s="12" t="n">
        <f aca="false">SUMPRODUCT(--('1099-B Lots'!$E$5:$E$17=$B10),'1099-B Lots'!$L$5:$L$17)</f>
        <v>0</v>
      </c>
      <c r="G10" s="12" t="n">
        <f aca="false">SUMPRODUCT(--('1099-B Lots'!$E$5:$E$17=$B10),'1099-B Lots'!$M$5:$M$17)</f>
        <v>0</v>
      </c>
      <c r="H10" s="12" t="n">
        <f aca="false">SUMPRODUCT(--('1099-B Lots'!$E$5:$E$17=$B10),'1099-B Lots'!$N$5:$N$17)</f>
        <v>0</v>
      </c>
    </row>
    <row r="11" customFormat="false" ht="15" hidden="false" customHeight="false" outlineLevel="0" collapsed="false">
      <c r="A11" s="10" t="s">
        <v>316</v>
      </c>
      <c r="B11" s="10" t="s">
        <v>317</v>
      </c>
      <c r="C11" s="36" t="n">
        <f aca="false">SUMPRODUCT(--('1099-B Lots'!$E$5:$E$17=$B11))</f>
        <v>1</v>
      </c>
      <c r="D11" s="12" t="n">
        <f aca="false">SUMPRODUCT(--('1099-B Lots'!$E$5:$E$17=$B11),'1099-B Lots'!$I$5:$I$17)</f>
        <v>2900</v>
      </c>
      <c r="E11" s="12" t="n">
        <f aca="false">SUMPRODUCT(--('1099-B Lots'!$E$5:$E$17=$B11),'1099-B Lots'!$J$5:$J$17)</f>
        <v>2700</v>
      </c>
      <c r="F11" s="12" t="n">
        <f aca="false">SUMPRODUCT(--('1099-B Lots'!$E$5:$E$17=$B11),'1099-B Lots'!$L$5:$L$17)</f>
        <v>0</v>
      </c>
      <c r="G11" s="12" t="n">
        <f aca="false">SUMPRODUCT(--('1099-B Lots'!$E$5:$E$17=$B11),'1099-B Lots'!$M$5:$M$17)</f>
        <v>200</v>
      </c>
      <c r="H11" s="12" t="n">
        <f aca="false">SUMPRODUCT(--('1099-B Lots'!$E$5:$E$17=$B11),'1099-B Lots'!$N$5:$N$17)</f>
        <v>200</v>
      </c>
    </row>
    <row r="12" customFormat="false" ht="15" hidden="false" customHeight="false" outlineLevel="0" collapsed="false">
      <c r="A12" s="10" t="s">
        <v>61</v>
      </c>
      <c r="B12" s="10" t="s">
        <v>62</v>
      </c>
      <c r="C12" s="36" t="n">
        <f aca="false">SUMPRODUCT(--('1099-B Lots'!$E$5:$E$17=$B12))</f>
        <v>2</v>
      </c>
      <c r="D12" s="12" t="n">
        <f aca="false">SUMPRODUCT(--('1099-B Lots'!$E$5:$E$17=$B12),'1099-B Lots'!$I$5:$I$17)</f>
        <v>6100</v>
      </c>
      <c r="E12" s="12" t="n">
        <f aca="false">SUMPRODUCT(--('1099-B Lots'!$E$5:$E$17=$B12),'1099-B Lots'!$J$5:$J$17)</f>
        <v>6750</v>
      </c>
      <c r="F12" s="12" t="n">
        <f aca="false">SUMPRODUCT(--('1099-B Lots'!$E$5:$E$17=$B12),'1099-B Lots'!$L$5:$L$17)</f>
        <v>350</v>
      </c>
      <c r="G12" s="12" t="n">
        <f aca="false">SUMPRODUCT(--('1099-B Lots'!$E$5:$E$17=$B12),'1099-B Lots'!$M$5:$M$17)</f>
        <v>-300</v>
      </c>
      <c r="H12" s="12" t="n">
        <f aca="false">SUMPRODUCT(--('1099-B Lots'!$E$5:$E$17=$B12),'1099-B Lots'!$N$5:$N$17)</f>
        <v>-300</v>
      </c>
    </row>
    <row r="13" customFormat="false" ht="15" hidden="false" customHeight="false" outlineLevel="0" collapsed="false">
      <c r="A13" s="10" t="s">
        <v>320</v>
      </c>
      <c r="B13" s="10" t="s">
        <v>321</v>
      </c>
      <c r="C13" s="36" t="n">
        <f aca="false">SUMPRODUCT(--('1099-B Lots'!$E$5:$E$17=$B13))</f>
        <v>1</v>
      </c>
      <c r="D13" s="12" t="n">
        <f aca="false">SUMPRODUCT(--('1099-B Lots'!$E$5:$E$17=$B13),'1099-B Lots'!$I$5:$I$17)</f>
        <v>10000</v>
      </c>
      <c r="E13" s="12" t="n">
        <f aca="false">SUMPRODUCT(--('1099-B Lots'!$E$5:$E$17=$B13),'1099-B Lots'!$J$5:$J$17)</f>
        <v>9790</v>
      </c>
      <c r="F13" s="12" t="n">
        <f aca="false">SUMPRODUCT(--('1099-B Lots'!$E$5:$E$17=$B13),'1099-B Lots'!$L$5:$L$17)</f>
        <v>0</v>
      </c>
      <c r="G13" s="12" t="n">
        <f aca="false">SUMPRODUCT(--('1099-B Lots'!$E$5:$E$17=$B13),'1099-B Lots'!$M$5:$M$17)</f>
        <v>210</v>
      </c>
      <c r="H13" s="12" t="n">
        <f aca="false">SUMPRODUCT(--('1099-B Lots'!$E$5:$E$17=$B13),'1099-B Lots'!$N$5:$N$17)</f>
        <v>210</v>
      </c>
    </row>
    <row r="14" customFormat="false" ht="15" hidden="false" customHeight="false" outlineLevel="0" collapsed="false">
      <c r="A14" s="10" t="s">
        <v>335</v>
      </c>
      <c r="B14" s="10" t="s">
        <v>336</v>
      </c>
      <c r="C14" s="36" t="n">
        <f aca="false">SUMPRODUCT(--('1099-B Lots'!$E$5:$E$17=$B14))</f>
        <v>1</v>
      </c>
      <c r="D14" s="12" t="n">
        <f aca="false">SUMPRODUCT(--('1099-B Lots'!$E$5:$E$17=$B14),'1099-B Lots'!$I$5:$I$17)</f>
        <v>7300</v>
      </c>
      <c r="E14" s="12" t="n">
        <f aca="false">SUMPRODUCT(--('1099-B Lots'!$E$5:$E$17=$B14),'1099-B Lots'!$J$5:$J$17)</f>
        <v>8350</v>
      </c>
      <c r="F14" s="12" t="n">
        <f aca="false">SUMPRODUCT(--('1099-B Lots'!$E$5:$E$17=$B14),'1099-B Lots'!$L$5:$L$17)</f>
        <v>0</v>
      </c>
      <c r="G14" s="12" t="n">
        <f aca="false">SUMPRODUCT(--('1099-B Lots'!$E$5:$E$17=$B14),'1099-B Lots'!$M$5:$M$17)</f>
        <v>-1050</v>
      </c>
      <c r="H14" s="12" t="n">
        <f aca="false">SUMPRODUCT(--('1099-B Lots'!$E$5:$E$17=$B14),'1099-B Lots'!$N$5:$N$17)</f>
        <v>-1050</v>
      </c>
    </row>
    <row r="15" customFormat="false" ht="15" hidden="false" customHeight="false" outlineLevel="0" collapsed="false">
      <c r="A15" s="3" t="s">
        <v>63</v>
      </c>
      <c r="C15" s="18" t="n">
        <f aca="false">SUM(C5:C14)</f>
        <v>13</v>
      </c>
      <c r="D15" s="14" t="n">
        <f aca="false">SUM(D5:D14)</f>
        <v>79565</v>
      </c>
      <c r="E15" s="14" t="n">
        <f aca="false">SUM(E5:E14)</f>
        <v>57340</v>
      </c>
      <c r="F15" s="14" t="n">
        <f aca="false">SUM(F5:F14)</f>
        <v>850</v>
      </c>
      <c r="G15" s="14" t="n">
        <f aca="false">SUM(G5:G14)</f>
        <v>16350</v>
      </c>
      <c r="H15" s="14" t="n">
        <f aca="false">SUM(H5:H14)</f>
        <v>16350</v>
      </c>
    </row>
    <row r="16" customFormat="false" ht="15" hidden="false" customHeight="false" outlineLevel="0" collapsed="false">
      <c r="A16" s="10" t="s">
        <v>371</v>
      </c>
      <c r="C16" s="17" t="n">
        <f aca="false">'1099-B Lots'!F28</f>
        <v>13</v>
      </c>
      <c r="D16" s="11" t="n">
        <f aca="false">'1099-B Lots'!I28</f>
        <v>79565</v>
      </c>
      <c r="E16" s="11" t="n">
        <f aca="false">'1099-B Lots'!J28</f>
        <v>57340</v>
      </c>
      <c r="F16" s="11" t="n">
        <f aca="false">'1099-B Lots'!L28</f>
        <v>850</v>
      </c>
      <c r="G16" s="11" t="n">
        <f aca="false">'1099-B Lots'!M28</f>
        <v>16350</v>
      </c>
      <c r="H16" s="11" t="n">
        <f aca="false">'1099-B Lots'!N28</f>
        <v>16350</v>
      </c>
    </row>
    <row r="17" customFormat="false" ht="15" hidden="false" customHeight="false" outlineLevel="0" collapsed="false">
      <c r="A17" s="3" t="s">
        <v>54</v>
      </c>
      <c r="C17" s="16" t="n">
        <f aca="false">ROUND(C15-C16,2)</f>
        <v>0</v>
      </c>
      <c r="D17" s="16" t="n">
        <f aca="false">ROUND(D15-D16,2)</f>
        <v>0</v>
      </c>
      <c r="E17" s="16" t="n">
        <f aca="false">ROUND(E15-E16,2)</f>
        <v>0</v>
      </c>
      <c r="F17" s="16" t="n">
        <f aca="false">ROUND(F15-F16,2)</f>
        <v>0</v>
      </c>
      <c r="G17" s="16" t="n">
        <f aca="false">ROUND(G15-G16,2)</f>
        <v>0</v>
      </c>
    </row>
  </sheetData>
  <autoFilter ref="A4:H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5" min="3" style="0" width="12"/>
    <col collapsed="false" customWidth="true" hidden="false" outlineLevel="0" max="10" min="6" style="0" width="15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17.35" hidden="false" customHeight="false" outlineLevel="0" collapsed="false">
      <c r="A1" s="1" t="s">
        <v>372</v>
      </c>
    </row>
    <row r="2" customFormat="false" ht="15" hidden="false" customHeight="false" outlineLevel="0" collapsed="false">
      <c r="A2" s="2" t="s">
        <v>373</v>
      </c>
    </row>
    <row r="4" customFormat="false" ht="23.85" hidden="false" customHeight="false" outlineLevel="0" collapsed="false">
      <c r="A4" s="6" t="s">
        <v>74</v>
      </c>
      <c r="B4" s="7" t="s">
        <v>87</v>
      </c>
      <c r="C4" s="7" t="s">
        <v>56</v>
      </c>
      <c r="D4" s="7" t="s">
        <v>89</v>
      </c>
      <c r="E4" s="7" t="s">
        <v>90</v>
      </c>
      <c r="F4" s="7" t="s">
        <v>75</v>
      </c>
      <c r="G4" s="7" t="s">
        <v>368</v>
      </c>
      <c r="H4" s="7" t="s">
        <v>374</v>
      </c>
      <c r="I4" s="7" t="s">
        <v>308</v>
      </c>
      <c r="J4" s="7" t="s">
        <v>309</v>
      </c>
      <c r="K4" s="7" t="s">
        <v>310</v>
      </c>
      <c r="L4" s="7" t="s">
        <v>311</v>
      </c>
    </row>
    <row r="5" customFormat="false" ht="22.35" hidden="false" customHeight="false" outlineLevel="0" collapsed="false">
      <c r="A5" s="11" t="str">
        <f aca="false">T('1099-B Lots'!A6)</f>
        <v>A</v>
      </c>
      <c r="B5" s="11" t="str">
        <f aca="false">T('1099-B Lots'!D6)</f>
        <v>APPLE INC</v>
      </c>
      <c r="C5" s="11" t="str">
        <f aca="false">T('1099-B Lots'!E6)</f>
        <v>037833100</v>
      </c>
      <c r="D5" s="26" t="n">
        <f aca="false">'1099-B Lots'!G6</f>
        <v>45726</v>
      </c>
      <c r="E5" s="26" t="n">
        <f aca="false">'1099-B Lots'!H6</f>
        <v>45762</v>
      </c>
      <c r="F5" s="11" t="n">
        <f aca="false">'1099-B Lots'!I6</f>
        <v>3900</v>
      </c>
      <c r="G5" s="11" t="n">
        <f aca="false">'1099-B Lots'!J6</f>
        <v>4400</v>
      </c>
      <c r="H5" s="11" t="n">
        <f aca="false">'1099-B Lots'!L6</f>
        <v>500</v>
      </c>
      <c r="I5" s="11" t="n">
        <f aca="false">'1099-B Lots'!M6</f>
        <v>0</v>
      </c>
      <c r="J5" s="12" t="n">
        <f aca="false">IF(ISNUMBER(G5),F5-G5+H5,"")</f>
        <v>0</v>
      </c>
      <c r="K5" s="16" t="n">
        <f aca="false">IF(AND(ISNUMBER(J5),ISNUMBER(I5)),ROUND(J5-I5,2),0)</f>
        <v>0</v>
      </c>
      <c r="L5" s="37" t="s">
        <v>375</v>
      </c>
    </row>
    <row r="6" customFormat="false" ht="43.25" hidden="false" customHeight="false" outlineLevel="0" collapsed="false">
      <c r="A6" s="11" t="str">
        <f aca="false">T('1099-B Lots'!A9)</f>
        <v>A</v>
      </c>
      <c r="B6" s="11" t="str">
        <f aca="false">T('1099-B Lots'!D9)</f>
        <v>TESLA INC</v>
      </c>
      <c r="C6" s="11" t="str">
        <f aca="false">T('1099-B Lots'!E9)</f>
        <v>88160R101</v>
      </c>
      <c r="D6" s="26" t="n">
        <f aca="false">'1099-B Lots'!G9</f>
        <v>45691</v>
      </c>
      <c r="E6" s="26" t="n">
        <f aca="false">'1099-B Lots'!H9</f>
        <v>45708</v>
      </c>
      <c r="F6" s="11" t="n">
        <f aca="false">'1099-B Lots'!I9</f>
        <v>3100</v>
      </c>
      <c r="G6" s="11" t="n">
        <f aca="false">'1099-B Lots'!J9</f>
        <v>3300</v>
      </c>
      <c r="H6" s="11" t="n">
        <f aca="false">'1099-B Lots'!L9</f>
        <v>350</v>
      </c>
      <c r="I6" s="11" t="n">
        <f aca="false">'1099-B Lots'!M9</f>
        <v>150</v>
      </c>
      <c r="J6" s="12" t="n">
        <f aca="false">IF(ISNUMBER(G6),F6-G6+H6,"")</f>
        <v>150</v>
      </c>
      <c r="K6" s="16" t="n">
        <f aca="false">IF(AND(ISNUMBER(J6),ISNUMBER(I6)),ROUND(J6-I6,2),0)</f>
        <v>0</v>
      </c>
      <c r="L6" s="37" t="s">
        <v>376</v>
      </c>
    </row>
    <row r="7" customFormat="false" ht="15" hidden="false" customHeight="false" outlineLevel="0" collapsed="false">
      <c r="B7" s="3" t="s">
        <v>63</v>
      </c>
      <c r="F7" s="14" t="n">
        <f aca="false">SUM(F5:F6)</f>
        <v>7000</v>
      </c>
      <c r="G7" s="14" t="n">
        <f aca="false">SUM(G5:G6)</f>
        <v>7700</v>
      </c>
      <c r="H7" s="14" t="n">
        <f aca="false">SUM(H5:H6)</f>
        <v>850</v>
      </c>
      <c r="I7" s="14" t="n">
        <f aca="false">SUM(I5:I6)</f>
        <v>150</v>
      </c>
      <c r="K7" s="16" t="n">
        <f aca="false">ROUND(SUMPRODUCT(ABS(K5:K6)),2)</f>
        <v>0</v>
      </c>
    </row>
    <row r="8" customFormat="false" ht="15" hidden="false" customHeight="false" outlineLevel="0" collapsed="false">
      <c r="B8" s="10" t="s">
        <v>377</v>
      </c>
      <c r="H8" s="11" t="n">
        <f aca="false">'1099-B Lots'!L28+'Crypto 1099-DA'!L15</f>
        <v>850</v>
      </c>
    </row>
    <row r="9" customFormat="false" ht="15" hidden="false" customHeight="false" outlineLevel="0" collapsed="false">
      <c r="B9" s="3" t="s">
        <v>378</v>
      </c>
      <c r="H9" s="16" t="n">
        <f aca="false">ROUND(H7-H8,2)</f>
        <v>0</v>
      </c>
    </row>
    <row r="11" customFormat="false" ht="15" hidden="false" customHeight="false" outlineLevel="0" collapsed="false">
      <c r="A11" s="8" t="s">
        <v>379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customFormat="false" ht="15" hidden="false" customHeight="false" outlineLevel="0" collapsed="false">
      <c r="A12" s="6" t="s">
        <v>74</v>
      </c>
      <c r="B12" s="7" t="s">
        <v>87</v>
      </c>
      <c r="C12" s="7" t="s">
        <v>56</v>
      </c>
      <c r="D12" s="7" t="s">
        <v>57</v>
      </c>
      <c r="H12" s="7" t="s">
        <v>58</v>
      </c>
    </row>
    <row r="13" customFormat="false" ht="15" hidden="false" customHeight="false" outlineLevel="0" collapsed="false">
      <c r="A13" s="10" t="s">
        <v>39</v>
      </c>
      <c r="B13" s="10" t="s">
        <v>59</v>
      </c>
      <c r="C13" s="10" t="s">
        <v>60</v>
      </c>
      <c r="D13" s="36" t="n">
        <f aca="false">SUMPRODUCT(--($A$5:$A$6=$A13),--($C$5:$C$6=$C13))</f>
        <v>1</v>
      </c>
      <c r="H13" s="12" t="n">
        <f aca="false">SUMPRODUCT(--($A$5:$A$6=$A13),--($C$5:$C$6=$C13),$H$5:$H$6)</f>
        <v>500</v>
      </c>
    </row>
    <row r="14" customFormat="false" ht="15" hidden="false" customHeight="false" outlineLevel="0" collapsed="false">
      <c r="A14" s="10" t="s">
        <v>39</v>
      </c>
      <c r="B14" s="10" t="s">
        <v>61</v>
      </c>
      <c r="C14" s="10" t="s">
        <v>62</v>
      </c>
      <c r="D14" s="36" t="n">
        <f aca="false">SUMPRODUCT(--($A$5:$A$6=$A14),--($C$5:$C$6=$C14))</f>
        <v>1</v>
      </c>
      <c r="H14" s="12" t="n">
        <f aca="false">SUMPRODUCT(--($A$5:$A$6=$A14),--($C$5:$C$6=$C14),$H$5:$H$6)</f>
        <v>350</v>
      </c>
    </row>
    <row r="16" customFormat="false" ht="15" hidden="false" customHeight="false" outlineLevel="0" collapsed="false">
      <c r="A16" s="8" t="s">
        <v>380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23.85" hidden="false" customHeight="false" outlineLevel="0" collapsed="false">
      <c r="A17" s="6" t="s">
        <v>74</v>
      </c>
      <c r="B17" s="7" t="s">
        <v>348</v>
      </c>
      <c r="D17" s="7" t="s">
        <v>57</v>
      </c>
      <c r="F17" s="7" t="s">
        <v>381</v>
      </c>
      <c r="G17" s="7" t="s">
        <v>382</v>
      </c>
      <c r="H17" s="7" t="s">
        <v>383</v>
      </c>
      <c r="I17" s="7" t="s">
        <v>384</v>
      </c>
      <c r="J17" s="7" t="s">
        <v>385</v>
      </c>
    </row>
    <row r="18" customFormat="false" ht="15" hidden="false" customHeight="false" outlineLevel="0" collapsed="false">
      <c r="A18" s="3" t="s">
        <v>39</v>
      </c>
      <c r="B18" s="10" t="s">
        <v>349</v>
      </c>
      <c r="D18" s="36" t="n">
        <f aca="false">COUNTIF($A$5:$A$6,$A18)</f>
        <v>2</v>
      </c>
      <c r="F18" s="11" t="n">
        <f aca="false">'1099-B Lots'!L23</f>
        <v>850</v>
      </c>
      <c r="G18" s="11" t="n">
        <f aca="false">N('1099-B Lots'!L32)</f>
        <v>850</v>
      </c>
      <c r="H18" s="12" t="n">
        <f aca="false">SUMIFS($H$5:$H$6,$A$5:$A$6,$A18)</f>
        <v>850</v>
      </c>
      <c r="I18" s="16" t="n">
        <f aca="false">ROUND(H18-G18,2)</f>
        <v>0</v>
      </c>
      <c r="J18" s="16" t="n">
        <f aca="false">ROUND(H18-F18,2)</f>
        <v>0</v>
      </c>
    </row>
    <row r="19" customFormat="false" ht="15" hidden="false" customHeight="false" outlineLevel="0" collapsed="false">
      <c r="A19" s="3" t="s">
        <v>323</v>
      </c>
      <c r="B19" s="10" t="s">
        <v>350</v>
      </c>
      <c r="D19" s="36" t="n">
        <f aca="false">COUNTIF($A$5:$A$6,$A19)</f>
        <v>0</v>
      </c>
      <c r="F19" s="11" t="n">
        <f aca="false">'1099-B Lots'!L24</f>
        <v>0</v>
      </c>
      <c r="G19" s="11" t="n">
        <f aca="false">N('1099-B Lots'!L33)</f>
        <v>0</v>
      </c>
      <c r="H19" s="12" t="n">
        <f aca="false">SUMIFS($H$5:$H$6,$A$5:$A$6,$A19)</f>
        <v>0</v>
      </c>
      <c r="I19" s="16" t="n">
        <f aca="false">ROUND(H19-G19,2)</f>
        <v>0</v>
      </c>
      <c r="J19" s="16" t="n">
        <f aca="false">ROUND(H19-F19,2)</f>
        <v>0</v>
      </c>
    </row>
    <row r="20" customFormat="false" ht="15" hidden="false" customHeight="false" outlineLevel="0" collapsed="false">
      <c r="A20" s="3" t="s">
        <v>42</v>
      </c>
      <c r="B20" s="10" t="s">
        <v>351</v>
      </c>
      <c r="D20" s="36" t="n">
        <f aca="false">COUNTIF($A$5:$A$6,$A20)</f>
        <v>0</v>
      </c>
      <c r="F20" s="11" t="n">
        <f aca="false">'1099-B Lots'!L25</f>
        <v>0</v>
      </c>
      <c r="G20" s="11" t="n">
        <f aca="false">N('1099-B Lots'!L34)</f>
        <v>0</v>
      </c>
      <c r="H20" s="12" t="n">
        <f aca="false">SUMIFS($H$5:$H$6,$A$5:$A$6,$A20)</f>
        <v>0</v>
      </c>
      <c r="I20" s="16" t="n">
        <f aca="false">ROUND(H20-G20,2)</f>
        <v>0</v>
      </c>
      <c r="J20" s="16" t="n">
        <f aca="false">ROUND(H20-F20,2)</f>
        <v>0</v>
      </c>
    </row>
    <row r="21" customFormat="false" ht="15" hidden="false" customHeight="false" outlineLevel="0" collapsed="false">
      <c r="A21" s="3" t="s">
        <v>337</v>
      </c>
      <c r="B21" s="10" t="s">
        <v>352</v>
      </c>
      <c r="D21" s="36" t="n">
        <f aca="false">COUNTIF($A$5:$A$6,$A21)</f>
        <v>0</v>
      </c>
      <c r="F21" s="11" t="n">
        <f aca="false">'1099-B Lots'!L26</f>
        <v>0</v>
      </c>
      <c r="G21" s="11" t="n">
        <f aca="false">N('1099-B Lots'!L35)</f>
        <v>0</v>
      </c>
      <c r="H21" s="12" t="n">
        <f aca="false">SUMIFS($H$5:$H$6,$A$5:$A$6,$A21)</f>
        <v>0</v>
      </c>
      <c r="I21" s="16" t="n">
        <f aca="false">ROUND(H21-G21,2)</f>
        <v>0</v>
      </c>
      <c r="J21" s="16" t="n">
        <f aca="false">ROUND(H21-F21,2)</f>
        <v>0</v>
      </c>
    </row>
    <row r="22" customFormat="false" ht="15" hidden="false" customHeight="false" outlineLevel="0" collapsed="false">
      <c r="A22" s="3" t="s">
        <v>341</v>
      </c>
      <c r="B22" s="10" t="s">
        <v>353</v>
      </c>
      <c r="D22" s="36" t="n">
        <f aca="false">COUNTIF($A$5:$A$6,$A22)</f>
        <v>0</v>
      </c>
      <c r="F22" s="11" t="n">
        <f aca="false">'1099-B Lots'!L27</f>
        <v>0</v>
      </c>
      <c r="G22" s="11" t="n">
        <f aca="false">N('1099-B Lots'!L36)</f>
        <v>0</v>
      </c>
      <c r="H22" s="12" t="n">
        <f aca="false">SUMIFS($H$5:$H$6,$A$5:$A$6,$A22)</f>
        <v>0</v>
      </c>
      <c r="I22" s="16" t="n">
        <f aca="false">ROUND(H22-G22,2)</f>
        <v>0</v>
      </c>
      <c r="J22" s="16" t="n">
        <f aca="false">ROUND(H22-F22,2)</f>
        <v>0</v>
      </c>
    </row>
    <row r="23" customFormat="false" ht="15" hidden="false" customHeight="false" outlineLevel="0" collapsed="false">
      <c r="A23" s="3" t="s">
        <v>44</v>
      </c>
      <c r="B23" s="10" t="s">
        <v>386</v>
      </c>
      <c r="D23" s="36" t="n">
        <f aca="false">COUNTIF($A$5:$A$6,$A23)</f>
        <v>0</v>
      </c>
      <c r="F23" s="11" t="n">
        <f aca="false">'Crypto 1099-DA'!L12</f>
        <v>0</v>
      </c>
      <c r="G23" s="11" t="n">
        <f aca="false">N('Crypto 1099-DA'!L19)</f>
        <v>0</v>
      </c>
      <c r="H23" s="12" t="n">
        <f aca="false">SUMIFS($H$5:$H$6,$A$5:$A$6,$A23)</f>
        <v>0</v>
      </c>
      <c r="I23" s="16" t="n">
        <f aca="false">ROUND(H23-G23,2)</f>
        <v>0</v>
      </c>
      <c r="J23" s="16" t="n">
        <f aca="false">ROUND(H23-F23,2)</f>
        <v>0</v>
      </c>
    </row>
    <row r="24" customFormat="false" ht="15" hidden="false" customHeight="false" outlineLevel="0" collapsed="false">
      <c r="A24" s="3" t="s">
        <v>387</v>
      </c>
      <c r="B24" s="10" t="s">
        <v>388</v>
      </c>
      <c r="D24" s="36" t="n">
        <f aca="false">COUNTIF($A$5:$A$6,$A24)</f>
        <v>0</v>
      </c>
      <c r="F24" s="11" t="n">
        <f aca="false">'Crypto 1099-DA'!L13</f>
        <v>0</v>
      </c>
      <c r="G24" s="11" t="n">
        <f aca="false">N('Crypto 1099-DA'!L20)</f>
        <v>0</v>
      </c>
      <c r="H24" s="12" t="n">
        <f aca="false">SUMIFS($H$5:$H$6,$A$5:$A$6,$A24)</f>
        <v>0</v>
      </c>
      <c r="I24" s="16" t="n">
        <f aca="false">ROUND(H24-G24,2)</f>
        <v>0</v>
      </c>
      <c r="J24" s="16" t="n">
        <f aca="false">ROUND(H24-F24,2)</f>
        <v>0</v>
      </c>
    </row>
    <row r="25" customFormat="false" ht="15" hidden="false" customHeight="false" outlineLevel="0" collapsed="false">
      <c r="A25" s="3" t="s">
        <v>46</v>
      </c>
      <c r="B25" s="10" t="s">
        <v>389</v>
      </c>
      <c r="D25" s="36" t="n">
        <f aca="false">COUNTIF($A$5:$A$6,$A25)</f>
        <v>0</v>
      </c>
      <c r="F25" s="11" t="n">
        <f aca="false">'Crypto 1099-DA'!L14</f>
        <v>0</v>
      </c>
      <c r="G25" s="11" t="n">
        <f aca="false">N('Crypto 1099-DA'!L21)</f>
        <v>0</v>
      </c>
      <c r="H25" s="12" t="n">
        <f aca="false">SUMIFS($H$5:$H$6,$A$5:$A$6,$A25)</f>
        <v>0</v>
      </c>
      <c r="I25" s="16" t="n">
        <f aca="false">ROUND(H25-G25,2)</f>
        <v>0</v>
      </c>
      <c r="J25" s="16" t="n">
        <f aca="false">ROUND(H25-F25,2)</f>
        <v>0</v>
      </c>
    </row>
    <row r="27" customFormat="false" ht="15" hidden="false" customHeight="false" outlineLevel="0" collapsed="false">
      <c r="A27" s="8" t="s">
        <v>311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customFormat="false" ht="15" hidden="false" customHeight="false" outlineLevel="0" collapsed="false">
      <c r="A28" s="10" t="s">
        <v>390</v>
      </c>
      <c r="B28" s="24" t="s">
        <v>391</v>
      </c>
    </row>
    <row r="29" customFormat="false" ht="15" hidden="false" customHeight="false" outlineLevel="0" collapsed="false">
      <c r="A29" s="10" t="s">
        <v>390</v>
      </c>
      <c r="B29" s="24" t="s">
        <v>392</v>
      </c>
    </row>
    <row r="30" customFormat="false" ht="15" hidden="false" customHeight="false" outlineLevel="0" collapsed="false">
      <c r="A30" s="10" t="s">
        <v>390</v>
      </c>
      <c r="B30" s="24" t="s">
        <v>393</v>
      </c>
    </row>
    <row r="31" customFormat="false" ht="15" hidden="false" customHeight="false" outlineLevel="0" collapsed="false">
      <c r="A31" s="10" t="s">
        <v>390</v>
      </c>
      <c r="B31" s="24" t="s">
        <v>394</v>
      </c>
    </row>
  </sheetData>
  <autoFilter ref="A4:L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R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9"/>
    <col collapsed="false" customWidth="true" hidden="false" outlineLevel="0" max="16" min="14" style="0" width="14"/>
    <col collapsed="false" customWidth="true" hidden="false" outlineLevel="0" max="17" min="17" style="0" width="34"/>
    <col collapsed="false" customWidth="true" hidden="false" outlineLevel="0" max="18" min="18" style="0" width="8"/>
  </cols>
  <sheetData>
    <row r="1" customFormat="false" ht="17.35" hidden="false" customHeight="false" outlineLevel="0" collapsed="false">
      <c r="A1" s="1" t="s">
        <v>395</v>
      </c>
    </row>
    <row r="2" customFormat="false" ht="15" hidden="false" customHeight="false" outlineLevel="0" collapsed="false">
      <c r="A2" s="2" t="s">
        <v>396</v>
      </c>
    </row>
    <row r="4" customFormat="false" ht="46.25" hidden="false" customHeight="false" outlineLevel="0" collapsed="false">
      <c r="A4" s="6" t="s">
        <v>74</v>
      </c>
      <c r="B4" s="7" t="s">
        <v>30</v>
      </c>
      <c r="C4" s="7" t="s">
        <v>87</v>
      </c>
      <c r="D4" s="7" t="s">
        <v>56</v>
      </c>
      <c r="E4" s="7" t="s">
        <v>88</v>
      </c>
      <c r="F4" s="7" t="s">
        <v>397</v>
      </c>
      <c r="G4" s="7" t="s">
        <v>90</v>
      </c>
      <c r="H4" s="7" t="s">
        <v>75</v>
      </c>
      <c r="I4" s="7" t="s">
        <v>76</v>
      </c>
      <c r="J4" s="7" t="s">
        <v>358</v>
      </c>
      <c r="K4" s="7" t="s">
        <v>308</v>
      </c>
      <c r="L4" s="7" t="s">
        <v>398</v>
      </c>
      <c r="M4" s="7" t="s">
        <v>399</v>
      </c>
      <c r="N4" s="7" t="s">
        <v>400</v>
      </c>
      <c r="O4" s="7" t="s">
        <v>401</v>
      </c>
      <c r="P4" s="7" t="s">
        <v>309</v>
      </c>
      <c r="Q4" s="7" t="s">
        <v>402</v>
      </c>
      <c r="R4" s="7" t="s">
        <v>312</v>
      </c>
    </row>
    <row r="5" customFormat="false" ht="15" hidden="false" customHeight="false" outlineLevel="0" collapsed="false">
      <c r="A5" s="11" t="str">
        <f aca="false">T('1099-B Lots'!A13)</f>
        <v>B</v>
      </c>
      <c r="B5" s="11" t="str">
        <f aca="false">T('1099-B Lots'!B13)</f>
        <v>ST</v>
      </c>
      <c r="C5" s="11" t="str">
        <f aca="false">T('1099-B Lots'!D13)</f>
        <v>GENERAL ELECTRIC CO</v>
      </c>
      <c r="D5" s="11" t="str">
        <f aca="false">T('1099-B Lots'!E13)</f>
        <v>369604301</v>
      </c>
      <c r="E5" s="25" t="n">
        <f aca="false">'1099-B Lots'!F13</f>
        <v>25</v>
      </c>
      <c r="F5" s="26" t="str">
        <f aca="false">'1099-B Lots'!G13</f>
        <v>VARIOUS</v>
      </c>
      <c r="G5" s="26" t="n">
        <f aca="false">'1099-B Lots'!H13</f>
        <v>45789</v>
      </c>
      <c r="H5" s="11" t="n">
        <f aca="false">'1099-B Lots'!I13</f>
        <v>4125</v>
      </c>
      <c r="I5" s="11" t="str">
        <f aca="false">'1099-B Lots'!J13</f>
        <v>N/A</v>
      </c>
      <c r="J5" s="11" t="n">
        <f aca="false">'1099-B Lots'!L13</f>
        <v>0</v>
      </c>
      <c r="K5" s="11" t="str">
        <f aca="false">'1099-B Lots'!M13</f>
        <v>N/A</v>
      </c>
      <c r="L5" s="38"/>
      <c r="M5" s="39"/>
      <c r="N5" s="40"/>
      <c r="O5" s="12" t="str">
        <f aca="false">IF(ISNUMBER(N5),N5,IF(ISNUMBER(I5),I5,""))</f>
        <v/>
      </c>
      <c r="P5" s="12" t="str">
        <f aca="false">IF(ISNUMBER(O5),H5-O5+J5,"")</f>
        <v/>
      </c>
      <c r="Q5" s="20" t="s">
        <v>93</v>
      </c>
      <c r="R5" s="17" t="n">
        <f aca="false">'1099-B Lots'!R13</f>
        <v>11</v>
      </c>
    </row>
    <row r="6" customFormat="false" ht="15" hidden="false" customHeight="false" outlineLevel="0" collapsed="false">
      <c r="A6" s="11" t="str">
        <f aca="false">T('1099-B Lots'!A12)</f>
        <v>B</v>
      </c>
      <c r="B6" s="11" t="str">
        <f aca="false">T('1099-B Lots'!B12)</f>
        <v>ST</v>
      </c>
      <c r="C6" s="11" t="str">
        <f aca="false">T('1099-B Lots'!D12)</f>
        <v>ABC CORP CVR</v>
      </c>
      <c r="D6" s="11" t="str">
        <f aca="false">T('1099-B Lots'!E12)</f>
        <v>000360206</v>
      </c>
      <c r="E6" s="25" t="n">
        <f aca="false">'1099-B Lots'!F12</f>
        <v>100</v>
      </c>
      <c r="F6" s="26" t="n">
        <f aca="false">'1099-B Lots'!G12</f>
        <v>45659</v>
      </c>
      <c r="G6" s="26" t="n">
        <f aca="false">'1099-B Lots'!H12</f>
        <v>45931</v>
      </c>
      <c r="H6" s="11" t="n">
        <f aca="false">'1099-B Lots'!I12</f>
        <v>40</v>
      </c>
      <c r="I6" s="11" t="n">
        <f aca="false">'1099-B Lots'!J12</f>
        <v>0</v>
      </c>
      <c r="J6" s="11" t="n">
        <f aca="false">'1099-B Lots'!L12</f>
        <v>0</v>
      </c>
      <c r="K6" s="11" t="n">
        <f aca="false">'1099-B Lots'!M12</f>
        <v>40</v>
      </c>
      <c r="L6" s="38"/>
      <c r="M6" s="39"/>
      <c r="N6" s="40"/>
      <c r="O6" s="12" t="n">
        <f aca="false">IF(ISNUMBER(N6),N6,IF(ISNUMBER(I6),I6,""))</f>
        <v>0</v>
      </c>
      <c r="P6" s="12" t="n">
        <f aca="false">IF(ISNUMBER(O6),H6-O6+J6,"")</f>
        <v>40</v>
      </c>
      <c r="Q6" s="20" t="s">
        <v>403</v>
      </c>
      <c r="R6" s="17" t="n">
        <f aca="false">'1099-B Lots'!R12</f>
        <v>11</v>
      </c>
    </row>
    <row r="7" customFormat="false" ht="15" hidden="false" customHeight="false" outlineLevel="0" collapsed="false">
      <c r="A7" s="11" t="str">
        <f aca="false">T('1099-B Lots'!A16)</f>
        <v>E</v>
      </c>
      <c r="B7" s="11" t="str">
        <f aca="false">T('1099-B Lots'!B16)</f>
        <v>LT</v>
      </c>
      <c r="C7" s="11" t="str">
        <f aca="false">T('1099-B Lots'!D16)</f>
        <v>COCA COLA CO</v>
      </c>
      <c r="D7" s="11" t="str">
        <f aca="false">T('1099-B Lots'!E16)</f>
        <v>191216100</v>
      </c>
      <c r="E7" s="25" t="n">
        <f aca="false">'1099-B Lots'!F16</f>
        <v>60</v>
      </c>
      <c r="F7" s="26" t="n">
        <f aca="false">'1099-B Lots'!G16</f>
        <v>39539</v>
      </c>
      <c r="G7" s="26" t="n">
        <f aca="false">'1099-B Lots'!H16</f>
        <v>45887</v>
      </c>
      <c r="H7" s="11" t="n">
        <f aca="false">'1099-B Lots'!I16</f>
        <v>4200</v>
      </c>
      <c r="I7" s="11" t="n">
        <f aca="false">'1099-B Lots'!J16</f>
        <v>1500</v>
      </c>
      <c r="J7" s="11" t="n">
        <f aca="false">'1099-B Lots'!L16</f>
        <v>0</v>
      </c>
      <c r="K7" s="11" t="n">
        <f aca="false">'1099-B Lots'!M16</f>
        <v>2700</v>
      </c>
      <c r="L7" s="38"/>
      <c r="M7" s="39"/>
      <c r="N7" s="40"/>
      <c r="O7" s="12" t="n">
        <f aca="false">IF(ISNUMBER(N7),N7,IF(ISNUMBER(I7),I7,""))</f>
        <v>1500</v>
      </c>
      <c r="P7" s="12" t="n">
        <f aca="false">IF(ISNUMBER(O7),H7-O7+J7,"")</f>
        <v>2700</v>
      </c>
      <c r="Q7" s="20" t="s">
        <v>403</v>
      </c>
      <c r="R7" s="17" t="n">
        <f aca="false">'1099-B Lots'!R16</f>
        <v>12</v>
      </c>
    </row>
    <row r="8" customFormat="false" ht="15" hidden="false" customHeight="false" outlineLevel="0" collapsed="false">
      <c r="A8" s="11" t="str">
        <f aca="false">T('1099-B Lots'!A17)</f>
        <v>X</v>
      </c>
      <c r="B8" s="11" t="str">
        <f aca="false">T('1099-B Lots'!B17)</f>
        <v>UNKNOWN</v>
      </c>
      <c r="C8" s="11" t="str">
        <f aca="false">T('1099-B Lots'!D17)</f>
        <v>OLD MUTUAL FUND</v>
      </c>
      <c r="D8" s="11" t="str">
        <f aca="false">T('1099-B Lots'!E17)</f>
        <v>001234AB9</v>
      </c>
      <c r="E8" s="25" t="n">
        <f aca="false">'1099-B Lots'!F17</f>
        <v>75</v>
      </c>
      <c r="F8" s="26" t="str">
        <f aca="false">'1099-B Lots'!G17</f>
        <v>N/A</v>
      </c>
      <c r="G8" s="26" t="n">
        <f aca="false">'1099-B Lots'!H17</f>
        <v>45996</v>
      </c>
      <c r="H8" s="11" t="n">
        <f aca="false">'1099-B Lots'!I17</f>
        <v>2600</v>
      </c>
      <c r="I8" s="11" t="str">
        <f aca="false">'1099-B Lots'!J17</f>
        <v>N/A</v>
      </c>
      <c r="J8" s="11" t="n">
        <f aca="false">'1099-B Lots'!L17</f>
        <v>0</v>
      </c>
      <c r="K8" s="11" t="str">
        <f aca="false">'1099-B Lots'!M17</f>
        <v>N/A</v>
      </c>
      <c r="L8" s="38"/>
      <c r="M8" s="39"/>
      <c r="N8" s="40"/>
      <c r="O8" s="12" t="str">
        <f aca="false">IF(ISNUMBER(N8),N8,IF(ISNUMBER(I8),I8,""))</f>
        <v/>
      </c>
      <c r="P8" s="12" t="str">
        <f aca="false">IF(ISNUMBER(O8),H8-O8+J8,"")</f>
        <v/>
      </c>
      <c r="Q8" s="20" t="s">
        <v>95</v>
      </c>
      <c r="R8" s="17" t="n">
        <f aca="false">'1099-B Lots'!R17</f>
        <v>13</v>
      </c>
    </row>
    <row r="9" customFormat="false" ht="15" hidden="false" customHeight="false" outlineLevel="0" collapsed="false">
      <c r="A9" s="11" t="str">
        <f aca="false">T('Crypto 1099-DA'!A6)</f>
        <v>H</v>
      </c>
      <c r="B9" s="11" t="str">
        <f aca="false">T('Crypto 1099-DA'!B6)</f>
        <v>ST</v>
      </c>
      <c r="C9" s="11" t="str">
        <f aca="false">T('Crypto 1099-DA'!D6)</f>
        <v>ETHEREUM</v>
      </c>
      <c r="D9" s="11" t="str">
        <f aca="false">T('Crypto 1099-DA'!E6)</f>
        <v>ETH</v>
      </c>
      <c r="E9" s="25" t="n">
        <f aca="false">'Crypto 1099-DA'!F6</f>
        <v>1.2</v>
      </c>
      <c r="F9" s="26" t="n">
        <f aca="false">'Crypto 1099-DA'!G6</f>
        <v>45597</v>
      </c>
      <c r="G9" s="26" t="n">
        <f aca="false">'Crypto 1099-DA'!H6</f>
        <v>45748</v>
      </c>
      <c r="H9" s="11" t="n">
        <f aca="false">'Crypto 1099-DA'!I6</f>
        <v>2100</v>
      </c>
      <c r="I9" s="11" t="str">
        <f aca="false">'Crypto 1099-DA'!J6</f>
        <v>N/A</v>
      </c>
      <c r="J9" s="11" t="n">
        <f aca="false">'Crypto 1099-DA'!L6</f>
        <v>0</v>
      </c>
      <c r="K9" s="11" t="str">
        <f aca="false">'Crypto 1099-DA'!M6</f>
        <v>N/A</v>
      </c>
      <c r="L9" s="38"/>
      <c r="M9" s="39"/>
      <c r="N9" s="40"/>
      <c r="O9" s="12" t="str">
        <f aca="false">IF(ISNUMBER(N9),N9,IF(ISNUMBER(I9),I9,""))</f>
        <v/>
      </c>
      <c r="P9" s="12" t="str">
        <f aca="false">IF(ISNUMBER(O9),H9-O9+J9,"")</f>
        <v/>
      </c>
      <c r="Q9" s="20" t="s">
        <v>96</v>
      </c>
      <c r="R9" s="17" t="n">
        <f aca="false">'Crypto 1099-DA'!R6</f>
        <v>21</v>
      </c>
    </row>
    <row r="10" customFormat="false" ht="15" hidden="false" customHeight="false" outlineLevel="0" collapsed="false">
      <c r="C10" s="3" t="s">
        <v>63</v>
      </c>
      <c r="H10" s="14" t="n">
        <f aca="false">SUM(H5:H9)</f>
        <v>13065</v>
      </c>
      <c r="I10" s="14" t="n">
        <f aca="false">SUM(I5:I9)</f>
        <v>1500</v>
      </c>
      <c r="J10" s="14" t="n">
        <f aca="false">SUM(J5:J9)</f>
        <v>0</v>
      </c>
      <c r="K10" s="14" t="n">
        <f aca="false">SUM(K5:K9)</f>
        <v>2740</v>
      </c>
      <c r="O10" s="14" t="n">
        <f aca="false">SUM(O5:O9)</f>
        <v>1500</v>
      </c>
      <c r="P10" s="14" t="n">
        <f aca="false">SUM(P5:P9)</f>
        <v>2740</v>
      </c>
    </row>
    <row r="12" customFormat="false" ht="15" hidden="false" customHeight="false" outlineLevel="0" collapsed="false">
      <c r="A12" s="19" t="s">
        <v>404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customFormat="false" ht="23.85" hidden="false" customHeight="false" outlineLevel="0" collapsed="false">
      <c r="A13" s="6" t="s">
        <v>74</v>
      </c>
      <c r="C13" s="7" t="s">
        <v>348</v>
      </c>
      <c r="D13" s="7" t="s">
        <v>77</v>
      </c>
      <c r="H13" s="7" t="s">
        <v>75</v>
      </c>
      <c r="I13" s="7" t="s">
        <v>76</v>
      </c>
      <c r="J13" s="7" t="s">
        <v>358</v>
      </c>
      <c r="K13" s="7" t="s">
        <v>308</v>
      </c>
      <c r="O13" s="7" t="s">
        <v>405</v>
      </c>
      <c r="P13" s="7" t="s">
        <v>406</v>
      </c>
      <c r="Q13" s="7" t="s">
        <v>407</v>
      </c>
      <c r="R13" s="7" t="s">
        <v>408</v>
      </c>
    </row>
    <row r="14" customFormat="false" ht="15" hidden="false" customHeight="false" outlineLevel="0" collapsed="false">
      <c r="A14" s="23" t="s">
        <v>323</v>
      </c>
      <c r="C14" s="10" t="s">
        <v>350</v>
      </c>
      <c r="D14" s="36" t="n">
        <f aca="false">COUNTIF($A$5:$A$9,$A14)</f>
        <v>2</v>
      </c>
      <c r="H14" s="12" t="n">
        <f aca="false">SUMIFS(H$5:H$9,$A$5:$A$9,$A14)</f>
        <v>4165</v>
      </c>
      <c r="I14" s="12" t="n">
        <f aca="false">SUMIFS(I$5:I$9,$A$5:$A$9,$A14)</f>
        <v>0</v>
      </c>
      <c r="J14" s="12" t="n">
        <f aca="false">SUMIFS(J$5:J$9,$A$5:$A$9,$A14)</f>
        <v>0</v>
      </c>
      <c r="K14" s="12" t="n">
        <f aca="false">SUMIFS(K$5:K$9,$A$5:$A$9,$A14)</f>
        <v>40</v>
      </c>
      <c r="O14" s="11" t="n">
        <f aca="false">N('1099-B Lots'!I33)</f>
        <v>4165</v>
      </c>
      <c r="P14" s="11" t="n">
        <f aca="false">N('1099-B Lots'!L33)</f>
        <v>0</v>
      </c>
      <c r="Q14" s="16" t="n">
        <f aca="false">ROUND(H14-O14,2)</f>
        <v>0</v>
      </c>
      <c r="R14" s="16" t="n">
        <f aca="false">ROUND(J14-P14,2)</f>
        <v>0</v>
      </c>
    </row>
    <row r="15" customFormat="false" ht="15" hidden="false" customHeight="false" outlineLevel="0" collapsed="false">
      <c r="A15" s="23" t="s">
        <v>337</v>
      </c>
      <c r="C15" s="10" t="s">
        <v>352</v>
      </c>
      <c r="D15" s="36" t="n">
        <f aca="false">COUNTIF($A$5:$A$9,$A15)</f>
        <v>1</v>
      </c>
      <c r="H15" s="12" t="n">
        <f aca="false">SUMIFS(H$5:H$9,$A$5:$A$9,$A15)</f>
        <v>4200</v>
      </c>
      <c r="I15" s="12" t="n">
        <f aca="false">SUMIFS(I$5:I$9,$A$5:$A$9,$A15)</f>
        <v>1500</v>
      </c>
      <c r="J15" s="12" t="n">
        <f aca="false">SUMIFS(J$5:J$9,$A$5:$A$9,$A15)</f>
        <v>0</v>
      </c>
      <c r="K15" s="12" t="n">
        <f aca="false">SUMIFS(K$5:K$9,$A$5:$A$9,$A15)</f>
        <v>2700</v>
      </c>
      <c r="O15" s="11" t="n">
        <f aca="false">N('1099-B Lots'!I35)</f>
        <v>4200</v>
      </c>
      <c r="P15" s="11" t="n">
        <f aca="false">N('1099-B Lots'!L35)</f>
        <v>0</v>
      </c>
      <c r="Q15" s="16" t="n">
        <f aca="false">ROUND(H15-O15,2)</f>
        <v>0</v>
      </c>
      <c r="R15" s="16" t="n">
        <f aca="false">ROUND(J15-P15,2)</f>
        <v>0</v>
      </c>
    </row>
    <row r="16" customFormat="false" ht="15" hidden="false" customHeight="false" outlineLevel="0" collapsed="false">
      <c r="A16" s="23" t="s">
        <v>341</v>
      </c>
      <c r="C16" s="10" t="s">
        <v>353</v>
      </c>
      <c r="D16" s="36" t="n">
        <f aca="false">COUNTIF($A$5:$A$9,$A16)</f>
        <v>1</v>
      </c>
      <c r="H16" s="12" t="n">
        <f aca="false">SUMIFS(H$5:H$9,$A$5:$A$9,$A16)</f>
        <v>2600</v>
      </c>
      <c r="I16" s="12" t="n">
        <f aca="false">SUMIFS(I$5:I$9,$A$5:$A$9,$A16)</f>
        <v>0</v>
      </c>
      <c r="J16" s="12" t="n">
        <f aca="false">SUMIFS(J$5:J$9,$A$5:$A$9,$A16)</f>
        <v>0</v>
      </c>
      <c r="K16" s="12" t="n">
        <f aca="false">SUMIFS(K$5:K$9,$A$5:$A$9,$A16)</f>
        <v>0</v>
      </c>
      <c r="O16" s="11" t="n">
        <f aca="false">N('1099-B Lots'!I36)</f>
        <v>2600</v>
      </c>
      <c r="P16" s="11" t="n">
        <f aca="false">N('1099-B Lots'!L36)</f>
        <v>0</v>
      </c>
      <c r="Q16" s="16" t="n">
        <f aca="false">ROUND(H16-O16,2)</f>
        <v>0</v>
      </c>
      <c r="R16" s="16" t="n">
        <f aca="false">ROUND(J16-P16,2)</f>
        <v>0</v>
      </c>
    </row>
    <row r="17" customFormat="false" ht="15" hidden="false" customHeight="false" outlineLevel="0" collapsed="false">
      <c r="A17" s="23" t="s">
        <v>387</v>
      </c>
      <c r="C17" s="10" t="s">
        <v>388</v>
      </c>
      <c r="D17" s="36" t="n">
        <f aca="false">COUNTIF($A$5:$A$9,$A17)</f>
        <v>1</v>
      </c>
      <c r="H17" s="12" t="n">
        <f aca="false">SUMIFS(H$5:H$9,$A$5:$A$9,$A17)</f>
        <v>2100</v>
      </c>
      <c r="I17" s="12" t="n">
        <f aca="false">SUMIFS(I$5:I$9,$A$5:$A$9,$A17)</f>
        <v>0</v>
      </c>
      <c r="J17" s="12" t="n">
        <f aca="false">SUMIFS(J$5:J$9,$A$5:$A$9,$A17)</f>
        <v>0</v>
      </c>
      <c r="K17" s="12" t="n">
        <f aca="false">SUMIFS(K$5:K$9,$A$5:$A$9,$A17)</f>
        <v>0</v>
      </c>
      <c r="O17" s="11" t="n">
        <f aca="false">N('Crypto 1099-DA'!I20)</f>
        <v>2100</v>
      </c>
      <c r="P17" s="11" t="n">
        <f aca="false">N('Crypto 1099-DA'!L20)</f>
        <v>0</v>
      </c>
      <c r="Q17" s="16" t="n">
        <f aca="false">ROUND(H17-O17,2)</f>
        <v>0</v>
      </c>
      <c r="R17" s="16" t="n">
        <f aca="false">ROUND(J17-P17,2)</f>
        <v>0</v>
      </c>
    </row>
  </sheetData>
  <autoFilter ref="A4:R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R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36"/>
    <col collapsed="false" customWidth="true" hidden="false" outlineLevel="0" max="8" min="5" style="0" width="12"/>
    <col collapsed="false" customWidth="true" hidden="false" outlineLevel="0" max="10" min="9" style="0" width="15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4" min="13" style="0" width="15"/>
    <col collapsed="false" customWidth="true" hidden="false" outlineLevel="0" max="16" min="15" style="0" width="10"/>
    <col collapsed="false" customWidth="true" hidden="false" outlineLevel="0" max="17" min="17" style="0" width="40"/>
    <col collapsed="false" customWidth="true" hidden="false" outlineLevel="0" max="18" min="18" style="0" width="8"/>
  </cols>
  <sheetData>
    <row r="1" customFormat="false" ht="17.35" hidden="false" customHeight="false" outlineLevel="0" collapsed="false">
      <c r="A1" s="1" t="s">
        <v>409</v>
      </c>
    </row>
    <row r="2" customFormat="false" ht="15" hidden="false" customHeight="false" outlineLevel="0" collapsed="false">
      <c r="A2" s="2" t="s">
        <v>302</v>
      </c>
    </row>
    <row r="4" customFormat="false" ht="23.85" hidden="false" customHeight="false" outlineLevel="0" collapsed="false">
      <c r="A4" s="6" t="s">
        <v>74</v>
      </c>
      <c r="B4" s="7" t="s">
        <v>30</v>
      </c>
      <c r="C4" s="7" t="s">
        <v>303</v>
      </c>
      <c r="D4" s="7" t="s">
        <v>87</v>
      </c>
      <c r="E4" s="7" t="s">
        <v>56</v>
      </c>
      <c r="F4" s="7" t="s">
        <v>88</v>
      </c>
      <c r="G4" s="7" t="s">
        <v>89</v>
      </c>
      <c r="H4" s="7" t="s">
        <v>90</v>
      </c>
      <c r="I4" s="7" t="s">
        <v>304</v>
      </c>
      <c r="J4" s="7" t="s">
        <v>305</v>
      </c>
      <c r="K4" s="7" t="s">
        <v>306</v>
      </c>
      <c r="L4" s="7" t="s">
        <v>307</v>
      </c>
      <c r="M4" s="7" t="s">
        <v>308</v>
      </c>
      <c r="N4" s="7" t="s">
        <v>309</v>
      </c>
      <c r="O4" s="7" t="s">
        <v>310</v>
      </c>
      <c r="P4" s="7" t="s">
        <v>19</v>
      </c>
      <c r="Q4" s="7" t="s">
        <v>311</v>
      </c>
      <c r="R4" s="7" t="s">
        <v>312</v>
      </c>
    </row>
    <row r="5" customFormat="false" ht="15" hidden="false" customHeight="false" outlineLevel="0" collapsed="false">
      <c r="A5" s="4" t="s">
        <v>44</v>
      </c>
      <c r="B5" s="10" t="s">
        <v>313</v>
      </c>
      <c r="C5" s="4" t="s">
        <v>314</v>
      </c>
      <c r="D5" s="4" t="s">
        <v>410</v>
      </c>
      <c r="E5" s="4" t="s">
        <v>411</v>
      </c>
      <c r="F5" s="32" t="n">
        <v>0.05</v>
      </c>
      <c r="G5" s="5" t="n">
        <v>45717</v>
      </c>
      <c r="H5" s="5" t="n">
        <v>45901</v>
      </c>
      <c r="I5" s="15" t="n">
        <v>5500</v>
      </c>
      <c r="J5" s="15" t="n">
        <v>4100</v>
      </c>
      <c r="K5" s="15" t="n">
        <v>0</v>
      </c>
      <c r="L5" s="15" t="n">
        <v>0</v>
      </c>
      <c r="M5" s="15" t="n">
        <v>1400</v>
      </c>
      <c r="N5" s="12" t="n">
        <f aca="false">I5-J5+L5</f>
        <v>1400</v>
      </c>
      <c r="O5" s="33" t="n">
        <f aca="false">ROUND(N5-M5,2)</f>
        <v>0</v>
      </c>
      <c r="P5" s="4" t="s">
        <v>315</v>
      </c>
      <c r="Q5" s="4"/>
      <c r="R5" s="34" t="n">
        <v>20</v>
      </c>
    </row>
    <row r="6" customFormat="false" ht="15" hidden="false" customHeight="false" outlineLevel="0" collapsed="false">
      <c r="A6" s="35" t="s">
        <v>387</v>
      </c>
      <c r="B6" s="20" t="s">
        <v>313</v>
      </c>
      <c r="C6" s="4" t="s">
        <v>314</v>
      </c>
      <c r="D6" s="35" t="s">
        <v>412</v>
      </c>
      <c r="E6" s="4" t="s">
        <v>413</v>
      </c>
      <c r="F6" s="32" t="n">
        <v>1.2</v>
      </c>
      <c r="G6" s="5" t="n">
        <v>45597</v>
      </c>
      <c r="H6" s="5" t="n">
        <v>45748</v>
      </c>
      <c r="I6" s="15" t="n">
        <v>2100</v>
      </c>
      <c r="J6" s="4" t="s">
        <v>330</v>
      </c>
      <c r="K6" s="15" t="n">
        <v>0</v>
      </c>
      <c r="L6" s="15" t="n">
        <v>0</v>
      </c>
      <c r="M6" s="4" t="s">
        <v>330</v>
      </c>
      <c r="P6" s="4" t="s">
        <v>315</v>
      </c>
      <c r="Q6" s="4" t="s">
        <v>414</v>
      </c>
      <c r="R6" s="34" t="n">
        <v>21</v>
      </c>
    </row>
    <row r="8" customFormat="false" ht="15" hidden="false" customHeight="false" outlineLevel="0" collapsed="false">
      <c r="D8" s="3" t="s">
        <v>346</v>
      </c>
      <c r="O8" s="16" t="n">
        <f aca="false">ROUND(SUMPRODUCT(ABS($O$5:$O$6)),2)</f>
        <v>0</v>
      </c>
    </row>
    <row r="10" customFormat="false" ht="15" hidden="false" customHeight="false" outlineLevel="0" collapsed="false">
      <c r="A10" s="8" t="s">
        <v>347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23.85" hidden="false" customHeight="false" outlineLevel="0" collapsed="false">
      <c r="A11" s="6" t="s">
        <v>74</v>
      </c>
      <c r="D11" s="7" t="s">
        <v>348</v>
      </c>
      <c r="F11" s="7" t="s">
        <v>77</v>
      </c>
      <c r="I11" s="7" t="s">
        <v>304</v>
      </c>
      <c r="J11" s="7" t="s">
        <v>305</v>
      </c>
      <c r="K11" s="7" t="s">
        <v>306</v>
      </c>
      <c r="L11" s="7" t="s">
        <v>307</v>
      </c>
      <c r="M11" s="7" t="s">
        <v>308</v>
      </c>
      <c r="N11" s="7" t="s">
        <v>309</v>
      </c>
    </row>
    <row r="12" customFormat="false" ht="15" hidden="false" customHeight="false" outlineLevel="0" collapsed="false">
      <c r="A12" s="3" t="s">
        <v>44</v>
      </c>
      <c r="D12" s="10" t="s">
        <v>386</v>
      </c>
      <c r="F12" s="36" t="n">
        <f aca="false">COUNTIF($A$5:$A$6,$A12)</f>
        <v>1</v>
      </c>
      <c r="I12" s="12" t="n">
        <f aca="false">SUMIFS($I$5:$I$6,$A$5:$A$6,$A12)</f>
        <v>5500</v>
      </c>
      <c r="J12" s="12" t="n">
        <f aca="false">SUMIFS($J$5:$J$6,$A$5:$A$6,$A12)</f>
        <v>4100</v>
      </c>
      <c r="K12" s="12" t="n">
        <f aca="false">SUMIFS($K$5:$K$6,$A$5:$A$6,$A12)</f>
        <v>0</v>
      </c>
      <c r="L12" s="12" t="n">
        <f aca="false">SUMIFS($L$5:$L$6,$A$5:$A$6,$A12)</f>
        <v>0</v>
      </c>
      <c r="M12" s="12" t="n">
        <f aca="false">SUMIFS($M$5:$M$6,$A$5:$A$6,$A12)</f>
        <v>1400</v>
      </c>
      <c r="N12" s="12" t="n">
        <f aca="false">SUMIFS($N$5:$N$6,$A$5:$A$6,$A12)</f>
        <v>1400</v>
      </c>
    </row>
    <row r="13" customFormat="false" ht="15" hidden="false" customHeight="false" outlineLevel="0" collapsed="false">
      <c r="A13" s="23" t="s">
        <v>387</v>
      </c>
      <c r="D13" s="10" t="s">
        <v>388</v>
      </c>
      <c r="F13" s="36" t="n">
        <f aca="false">COUNTIF($A$5:$A$6,$A13)</f>
        <v>1</v>
      </c>
      <c r="I13" s="12" t="n">
        <f aca="false">SUMIFS($I$5:$I$6,$A$5:$A$6,$A13)</f>
        <v>2100</v>
      </c>
      <c r="J13" s="12" t="n">
        <f aca="false">SUMIFS($J$5:$J$6,$A$5:$A$6,$A13)</f>
        <v>0</v>
      </c>
      <c r="K13" s="12" t="n">
        <f aca="false">SUMIFS($K$5:$K$6,$A$5:$A$6,$A13)</f>
        <v>0</v>
      </c>
      <c r="L13" s="12" t="n">
        <f aca="false">SUMIFS($L$5:$L$6,$A$5:$A$6,$A13)</f>
        <v>0</v>
      </c>
      <c r="M13" s="12" t="n">
        <f aca="false">SUMIFS($M$5:$M$6,$A$5:$A$6,$A13)</f>
        <v>0</v>
      </c>
      <c r="N13" s="12" t="n">
        <f aca="false">SUMIFS($N$5:$N$6,$A$5:$A$6,$A13)</f>
        <v>0</v>
      </c>
    </row>
    <row r="14" customFormat="false" ht="15" hidden="false" customHeight="false" outlineLevel="0" collapsed="false">
      <c r="A14" s="3" t="s">
        <v>46</v>
      </c>
      <c r="D14" s="10" t="s">
        <v>389</v>
      </c>
      <c r="F14" s="36" t="n">
        <f aca="false">COUNTIF($A$5:$A$6,$A14)</f>
        <v>0</v>
      </c>
      <c r="I14" s="12" t="n">
        <f aca="false">SUMIFS($I$5:$I$6,$A$5:$A$6,$A14)</f>
        <v>0</v>
      </c>
      <c r="J14" s="12" t="n">
        <f aca="false">SUMIFS($J$5:$J$6,$A$5:$A$6,$A14)</f>
        <v>0</v>
      </c>
      <c r="K14" s="12" t="n">
        <f aca="false">SUMIFS($K$5:$K$6,$A$5:$A$6,$A14)</f>
        <v>0</v>
      </c>
      <c r="L14" s="12" t="n">
        <f aca="false">SUMIFS($L$5:$L$6,$A$5:$A$6,$A14)</f>
        <v>0</v>
      </c>
      <c r="M14" s="12" t="n">
        <f aca="false">SUMIFS($M$5:$M$6,$A$5:$A$6,$A14)</f>
        <v>0</v>
      </c>
      <c r="N14" s="12" t="n">
        <f aca="false">SUMIFS($N$5:$N$6,$A$5:$A$6,$A14)</f>
        <v>0</v>
      </c>
    </row>
    <row r="15" customFormat="false" ht="15" hidden="false" customHeight="false" outlineLevel="0" collapsed="false">
      <c r="A15" s="3" t="s">
        <v>63</v>
      </c>
      <c r="F15" s="18" t="n">
        <f aca="false">SUM(F12:F14)</f>
        <v>2</v>
      </c>
      <c r="I15" s="14" t="n">
        <f aca="false">SUM(I12:I14)</f>
        <v>7600</v>
      </c>
      <c r="J15" s="14" t="n">
        <f aca="false">SUM(J12:J14)</f>
        <v>4100</v>
      </c>
      <c r="K15" s="14" t="n">
        <f aca="false">SUM(K12:K14)</f>
        <v>0</v>
      </c>
      <c r="L15" s="14" t="n">
        <f aca="false">SUM(L12:L14)</f>
        <v>0</v>
      </c>
      <c r="M15" s="14" t="n">
        <f aca="false">SUM(M12:M14)</f>
        <v>1400</v>
      </c>
      <c r="N15" s="14" t="n">
        <f aca="false">SUM(N12:N14)</f>
        <v>1400</v>
      </c>
    </row>
    <row r="17" customFormat="false" ht="15" hidden="false" customHeight="false" outlineLevel="0" collapsed="false">
      <c r="A17" s="8" t="s">
        <v>354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customFormat="false" ht="23.85" hidden="false" customHeight="false" outlineLevel="0" collapsed="false">
      <c r="A18" s="6" t="s">
        <v>74</v>
      </c>
      <c r="D18" s="7" t="s">
        <v>355</v>
      </c>
      <c r="I18" s="7" t="s">
        <v>304</v>
      </c>
      <c r="J18" s="7" t="s">
        <v>305</v>
      </c>
      <c r="K18" s="7" t="s">
        <v>306</v>
      </c>
      <c r="L18" s="7" t="s">
        <v>307</v>
      </c>
      <c r="M18" s="7" t="s">
        <v>308</v>
      </c>
    </row>
    <row r="19" customFormat="false" ht="15" hidden="false" customHeight="false" outlineLevel="0" collapsed="false">
      <c r="A19" s="3" t="s">
        <v>44</v>
      </c>
      <c r="D19" s="10" t="s">
        <v>415</v>
      </c>
      <c r="I19" s="15" t="n">
        <v>5500</v>
      </c>
      <c r="J19" s="15" t="n">
        <v>4100</v>
      </c>
      <c r="K19" s="15" t="n">
        <v>0</v>
      </c>
      <c r="L19" s="15" t="n">
        <v>0</v>
      </c>
      <c r="M19" s="15" t="n">
        <v>1400</v>
      </c>
    </row>
    <row r="20" customFormat="false" ht="15" hidden="false" customHeight="false" outlineLevel="0" collapsed="false">
      <c r="A20" s="3" t="s">
        <v>387</v>
      </c>
      <c r="D20" s="10" t="s">
        <v>415</v>
      </c>
      <c r="I20" s="15" t="n">
        <v>2100</v>
      </c>
      <c r="J20" s="4" t="s">
        <v>330</v>
      </c>
      <c r="K20" s="15" t="n">
        <v>0</v>
      </c>
      <c r="L20" s="15" t="n">
        <v>0</v>
      </c>
      <c r="M20" s="4" t="s">
        <v>330</v>
      </c>
    </row>
    <row r="21" customFormat="false" ht="15" hidden="false" customHeight="false" outlineLevel="0" collapsed="false">
      <c r="A21" s="3" t="s">
        <v>46</v>
      </c>
      <c r="D21" s="13" t="s">
        <v>47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</row>
    <row r="23" customFormat="false" ht="15" hidden="false" customHeight="false" outlineLevel="0" collapsed="false">
      <c r="A23" s="8" t="s">
        <v>357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customFormat="false" ht="23.85" hidden="false" customHeight="false" outlineLevel="0" collapsed="false">
      <c r="A24" s="6" t="s">
        <v>74</v>
      </c>
      <c r="I24" s="7" t="s">
        <v>75</v>
      </c>
      <c r="J24" s="7" t="s">
        <v>91</v>
      </c>
      <c r="K24" s="7" t="s">
        <v>306</v>
      </c>
      <c r="L24" s="7" t="s">
        <v>358</v>
      </c>
      <c r="M24" s="7" t="s">
        <v>359</v>
      </c>
    </row>
    <row r="25" customFormat="false" ht="15" hidden="false" customHeight="false" outlineLevel="0" collapsed="false">
      <c r="A25" s="3" t="s">
        <v>44</v>
      </c>
      <c r="I25" s="16" t="n">
        <f aca="false">ROUND(I12-N(I19),2)</f>
        <v>0</v>
      </c>
      <c r="J25" s="16" t="n">
        <f aca="false">ROUND(J12-N(J19),2)</f>
        <v>0</v>
      </c>
      <c r="K25" s="16" t="n">
        <f aca="false">ROUND(K12-N(K19),2)</f>
        <v>0</v>
      </c>
      <c r="L25" s="16" t="n">
        <f aca="false">ROUND(L12-N(L19),2)</f>
        <v>0</v>
      </c>
      <c r="M25" s="16" t="n">
        <f aca="false">ROUND(M12-N(M19),2)</f>
        <v>0</v>
      </c>
    </row>
    <row r="26" customFormat="false" ht="15" hidden="false" customHeight="false" outlineLevel="0" collapsed="false">
      <c r="A26" s="3" t="s">
        <v>387</v>
      </c>
      <c r="I26" s="16" t="n">
        <f aca="false">ROUND(I13-N(I20),2)</f>
        <v>0</v>
      </c>
      <c r="J26" s="16" t="n">
        <f aca="false">ROUND(J13-N(J20),2)</f>
        <v>0</v>
      </c>
      <c r="K26" s="16" t="n">
        <f aca="false">ROUND(K13-N(K20),2)</f>
        <v>0</v>
      </c>
      <c r="L26" s="16" t="n">
        <f aca="false">ROUND(L13-N(L20),2)</f>
        <v>0</v>
      </c>
      <c r="M26" s="16" t="n">
        <f aca="false">ROUND(M13-N(M20),2)</f>
        <v>0</v>
      </c>
    </row>
    <row r="27" customFormat="false" ht="15" hidden="false" customHeight="false" outlineLevel="0" collapsed="false">
      <c r="A27" s="3" t="s">
        <v>46</v>
      </c>
      <c r="I27" s="16" t="n">
        <f aca="false">ROUND(I14-N(I21),2)</f>
        <v>0</v>
      </c>
      <c r="J27" s="16" t="n">
        <f aca="false">ROUND(J14-N(J21),2)</f>
        <v>0</v>
      </c>
      <c r="K27" s="16" t="n">
        <f aca="false">ROUND(K14-N(K21),2)</f>
        <v>0</v>
      </c>
      <c r="L27" s="16" t="n">
        <f aca="false">ROUND(L14-N(L21),2)</f>
        <v>0</v>
      </c>
      <c r="M27" s="16" t="n">
        <f aca="false">ROUND(M14-N(M21),2)</f>
        <v>0</v>
      </c>
    </row>
    <row r="29" customFormat="false" ht="15" hidden="false" customHeight="false" outlineLevel="0" collapsed="false">
      <c r="A29" s="8" t="s">
        <v>360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customFormat="false" ht="23.85" hidden="false" customHeight="false" outlineLevel="0" collapsed="false">
      <c r="A30" s="6" t="s">
        <v>74</v>
      </c>
      <c r="C30" s="7" t="s">
        <v>303</v>
      </c>
      <c r="D30" s="7" t="s">
        <v>361</v>
      </c>
      <c r="F30" s="7" t="s">
        <v>77</v>
      </c>
      <c r="I30" s="7" t="s">
        <v>304</v>
      </c>
      <c r="J30" s="7" t="s">
        <v>305</v>
      </c>
      <c r="K30" s="7" t="s">
        <v>306</v>
      </c>
      <c r="L30" s="7" t="s">
        <v>307</v>
      </c>
      <c r="M30" s="7" t="s">
        <v>362</v>
      </c>
    </row>
    <row r="31" customFormat="false" ht="15" hidden="false" customHeight="false" outlineLevel="0" collapsed="false">
      <c r="A31" s="3" t="s">
        <v>44</v>
      </c>
      <c r="C31" s="10" t="s">
        <v>314</v>
      </c>
      <c r="D31" s="10" t="s">
        <v>416</v>
      </c>
      <c r="F31" s="36" t="n">
        <f aca="false">COUNTIFS($A$5:$A$6,$A31,$C$5:$C$6,$C31)</f>
        <v>1</v>
      </c>
      <c r="I31" s="12" t="n">
        <f aca="false">SUMIFS($I$5:$I$6,$A$5:$A$6,$A31,$C$5:$C$6,$C31)</f>
        <v>5500</v>
      </c>
      <c r="J31" s="12" t="n">
        <f aca="false">SUMIFS($J$5:$J$6,$A$5:$A$6,$A31,$C$5:$C$6,$C31)</f>
        <v>4100</v>
      </c>
      <c r="K31" s="12" t="n">
        <f aca="false">SUMIFS($K$5:$K$6,$A$5:$A$6,$A31,$C$5:$C$6,$C31)</f>
        <v>0</v>
      </c>
      <c r="L31" s="12" t="n">
        <f aca="false">SUMIFS($L$5:$L$6,$A$5:$A$6,$A31,$C$5:$C$6,$C31)</f>
        <v>0</v>
      </c>
      <c r="M31" s="12" t="n">
        <f aca="false">I31-J31+L31</f>
        <v>1400</v>
      </c>
    </row>
    <row r="32" customFormat="false" ht="15" hidden="false" customHeight="false" outlineLevel="0" collapsed="false">
      <c r="A32" s="3" t="s">
        <v>46</v>
      </c>
      <c r="C32" s="10" t="s">
        <v>314</v>
      </c>
      <c r="D32" s="10" t="s">
        <v>417</v>
      </c>
      <c r="F32" s="36" t="n">
        <f aca="false">COUNTIFS($A$5:$A$6,$A32,$C$5:$C$6,$C32)</f>
        <v>0</v>
      </c>
      <c r="I32" s="12" t="n">
        <f aca="false">SUMIFS($I$5:$I$6,$A$5:$A$6,$A32,$C$5:$C$6,$C32)</f>
        <v>0</v>
      </c>
      <c r="J32" s="12" t="n">
        <f aca="false">SUMIFS($J$5:$J$6,$A$5:$A$6,$A32,$C$5:$C$6,$C32)</f>
        <v>0</v>
      </c>
      <c r="K32" s="12" t="n">
        <f aca="false">SUMIFS($K$5:$K$6,$A$5:$A$6,$A32,$C$5:$C$6,$C32)</f>
        <v>0</v>
      </c>
      <c r="L32" s="12" t="n">
        <f aca="false">SUMIFS($L$5:$L$6,$A$5:$A$6,$A32,$C$5:$C$6,$C32)</f>
        <v>0</v>
      </c>
      <c r="M32" s="12" t="n">
        <f aca="false">I32-J32+L32</f>
        <v>0</v>
      </c>
    </row>
    <row r="34" customFormat="false" ht="15" hidden="false" customHeight="false" outlineLevel="0" collapsed="false">
      <c r="A34" s="8" t="s">
        <v>418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customFormat="false" ht="23.85" hidden="false" customHeight="false" outlineLevel="0" collapsed="false">
      <c r="D35" s="7" t="s">
        <v>419</v>
      </c>
      <c r="E35" s="7" t="s">
        <v>420</v>
      </c>
      <c r="F35" s="7" t="s">
        <v>77</v>
      </c>
      <c r="I35" s="7" t="s">
        <v>304</v>
      </c>
      <c r="J35" s="7" t="s">
        <v>305</v>
      </c>
      <c r="L35" s="7" t="s">
        <v>307</v>
      </c>
      <c r="M35" s="7" t="s">
        <v>308</v>
      </c>
    </row>
    <row r="36" customFormat="false" ht="15" hidden="false" customHeight="false" outlineLevel="0" collapsed="false">
      <c r="D36" s="10" t="s">
        <v>410</v>
      </c>
      <c r="E36" s="10" t="s">
        <v>411</v>
      </c>
      <c r="F36" s="36" t="n">
        <f aca="false">SUMPRODUCT(--($E$5:$E$6=E36))</f>
        <v>1</v>
      </c>
      <c r="I36" s="12" t="n">
        <f aca="false">SUMPRODUCT(--($E$5:$E$6=E36),$I$5:$I$6)</f>
        <v>5500</v>
      </c>
      <c r="J36" s="12" t="n">
        <f aca="false">SUMPRODUCT(--($E$5:$E$6=E36),$J$5:$J$6)</f>
        <v>4100</v>
      </c>
      <c r="L36" s="12" t="n">
        <f aca="false">SUMPRODUCT(--($E$5:$E$6=E36),$L$5:$L$6)</f>
        <v>0</v>
      </c>
      <c r="M36" s="12" t="n">
        <f aca="false">SUMPRODUCT(--($E$5:$E$6=E36),$M$5:$M$6)</f>
        <v>1400</v>
      </c>
    </row>
    <row r="37" customFormat="false" ht="15" hidden="false" customHeight="false" outlineLevel="0" collapsed="false">
      <c r="D37" s="10" t="s">
        <v>412</v>
      </c>
      <c r="E37" s="10" t="s">
        <v>413</v>
      </c>
      <c r="F37" s="36" t="n">
        <f aca="false">SUMPRODUCT(--($E$5:$E$6=E37))</f>
        <v>1</v>
      </c>
      <c r="I37" s="12" t="n">
        <f aca="false">SUMPRODUCT(--($E$5:$E$6=E37),$I$5:$I$6)</f>
        <v>2100</v>
      </c>
      <c r="J37" s="12" t="n">
        <f aca="false">SUMPRODUCT(--($E$5:$E$6=E37),$J$5:$J$6)</f>
        <v>0</v>
      </c>
      <c r="L37" s="12" t="n">
        <f aca="false">SUMPRODUCT(--($E$5:$E$6=E37),$L$5:$L$6)</f>
        <v>0</v>
      </c>
      <c r="M37" s="12" t="n">
        <f aca="false">SUMPRODUCT(--($E$5:$E$6=E37),$M$5:$M$6)</f>
        <v>0</v>
      </c>
    </row>
    <row r="38" customFormat="false" ht="15" hidden="false" customHeight="false" outlineLevel="0" collapsed="false">
      <c r="D38" s="3" t="s">
        <v>63</v>
      </c>
      <c r="I38" s="14" t="n">
        <f aca="false">SUM(I36:I37)</f>
        <v>7600</v>
      </c>
      <c r="J38" s="14" t="n">
        <f aca="false">SUM(J36:J37)</f>
        <v>4100</v>
      </c>
      <c r="L38" s="14" t="n">
        <f aca="false">SUM(L36:L37)</f>
        <v>0</v>
      </c>
      <c r="M38" s="14" t="n">
        <f aca="false">SUM(M36:M37)</f>
        <v>1400</v>
      </c>
    </row>
    <row r="39" customFormat="false" ht="15" hidden="false" customHeight="false" outlineLevel="0" collapsed="false">
      <c r="I39" s="16" t="n">
        <f aca="false">ROUND(I38-I15,2)</f>
        <v>0</v>
      </c>
      <c r="L39" s="16" t="n">
        <f aca="false">ROUND(L38-L15,2)</f>
        <v>0</v>
      </c>
    </row>
  </sheetData>
  <autoFilter ref="A4:R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38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421</v>
      </c>
    </row>
    <row r="2" customFormat="false" ht="15" hidden="false" customHeight="false" outlineLevel="0" collapsed="false">
      <c r="A2" s="2" t="s">
        <v>422</v>
      </c>
    </row>
    <row r="4" customFormat="false" ht="15" hidden="false" customHeight="false" outlineLevel="0" collapsed="false">
      <c r="A4" s="6" t="s">
        <v>423</v>
      </c>
      <c r="B4" s="7" t="s">
        <v>74</v>
      </c>
      <c r="C4" s="7" t="s">
        <v>348</v>
      </c>
      <c r="D4" s="7" t="s">
        <v>424</v>
      </c>
      <c r="E4" s="7" t="s">
        <v>56</v>
      </c>
      <c r="F4" s="7" t="s">
        <v>425</v>
      </c>
      <c r="G4" s="7" t="s">
        <v>100</v>
      </c>
      <c r="H4" s="7" t="s">
        <v>312</v>
      </c>
    </row>
    <row r="5" customFormat="false" ht="15" hidden="false" customHeight="false" outlineLevel="0" collapsed="false">
      <c r="A5" s="4" t="s">
        <v>426</v>
      </c>
      <c r="B5" s="4" t="s">
        <v>427</v>
      </c>
      <c r="C5" s="10" t="s">
        <v>103</v>
      </c>
      <c r="D5" s="4" t="s">
        <v>59</v>
      </c>
      <c r="E5" s="4" t="s">
        <v>60</v>
      </c>
      <c r="F5" s="5" t="n">
        <v>45701</v>
      </c>
      <c r="G5" s="15" t="n">
        <v>62.4</v>
      </c>
      <c r="H5" s="34" t="n">
        <v>4</v>
      </c>
    </row>
    <row r="6" customFormat="false" ht="15" hidden="false" customHeight="false" outlineLevel="0" collapsed="false">
      <c r="A6" s="4" t="s">
        <v>426</v>
      </c>
      <c r="B6" s="4" t="s">
        <v>427</v>
      </c>
      <c r="C6" s="10" t="s">
        <v>103</v>
      </c>
      <c r="D6" s="4" t="s">
        <v>316</v>
      </c>
      <c r="E6" s="4" t="s">
        <v>317</v>
      </c>
      <c r="F6" s="5" t="n">
        <v>45809</v>
      </c>
      <c r="G6" s="15" t="n">
        <v>18.3</v>
      </c>
      <c r="H6" s="34" t="n">
        <v>4</v>
      </c>
    </row>
    <row r="7" customFormat="false" ht="15" hidden="false" customHeight="false" outlineLevel="0" collapsed="false">
      <c r="A7" s="4" t="s">
        <v>426</v>
      </c>
      <c r="B7" s="4" t="s">
        <v>427</v>
      </c>
      <c r="C7" s="10" t="s">
        <v>103</v>
      </c>
      <c r="D7" s="4" t="s">
        <v>333</v>
      </c>
      <c r="E7" s="4" t="s">
        <v>334</v>
      </c>
      <c r="F7" s="5" t="n">
        <v>45820</v>
      </c>
      <c r="G7" s="15" t="n">
        <v>210</v>
      </c>
      <c r="H7" s="34" t="n">
        <v>4</v>
      </c>
    </row>
    <row r="8" customFormat="false" ht="15" hidden="false" customHeight="false" outlineLevel="0" collapsed="false">
      <c r="A8" s="4" t="s">
        <v>426</v>
      </c>
      <c r="B8" s="4" t="s">
        <v>427</v>
      </c>
      <c r="C8" s="10" t="s">
        <v>103</v>
      </c>
      <c r="D8" s="4" t="s">
        <v>335</v>
      </c>
      <c r="E8" s="4" t="s">
        <v>336</v>
      </c>
      <c r="F8" s="5" t="n">
        <v>45870</v>
      </c>
      <c r="G8" s="15" t="n">
        <v>245.1</v>
      </c>
      <c r="H8" s="34" t="n">
        <v>4</v>
      </c>
    </row>
    <row r="9" customFormat="false" ht="15" hidden="false" customHeight="false" outlineLevel="0" collapsed="false">
      <c r="A9" s="4" t="s">
        <v>426</v>
      </c>
      <c r="B9" s="4" t="s">
        <v>428</v>
      </c>
      <c r="C9" s="10" t="s">
        <v>107</v>
      </c>
      <c r="D9" s="4" t="s">
        <v>59</v>
      </c>
      <c r="E9" s="4" t="s">
        <v>60</v>
      </c>
      <c r="F9" s="5" t="n">
        <v>45701</v>
      </c>
      <c r="G9" s="15" t="n">
        <v>62.4</v>
      </c>
      <c r="H9" s="34" t="n">
        <v>4</v>
      </c>
    </row>
    <row r="10" customFormat="false" ht="15" hidden="false" customHeight="false" outlineLevel="0" collapsed="false">
      <c r="A10" s="4" t="s">
        <v>426</v>
      </c>
      <c r="B10" s="4" t="s">
        <v>428</v>
      </c>
      <c r="C10" s="10" t="s">
        <v>107</v>
      </c>
      <c r="D10" s="4" t="s">
        <v>316</v>
      </c>
      <c r="E10" s="4" t="s">
        <v>317</v>
      </c>
      <c r="F10" s="5" t="n">
        <v>45809</v>
      </c>
      <c r="G10" s="15" t="n">
        <v>18.3</v>
      </c>
      <c r="H10" s="34" t="n">
        <v>4</v>
      </c>
    </row>
    <row r="11" customFormat="false" ht="15" hidden="false" customHeight="false" outlineLevel="0" collapsed="false">
      <c r="A11" s="4" t="s">
        <v>426</v>
      </c>
      <c r="B11" s="4" t="s">
        <v>428</v>
      </c>
      <c r="C11" s="10" t="s">
        <v>107</v>
      </c>
      <c r="D11" s="4" t="s">
        <v>333</v>
      </c>
      <c r="E11" s="4" t="s">
        <v>334</v>
      </c>
      <c r="F11" s="5" t="n">
        <v>45820</v>
      </c>
      <c r="G11" s="15" t="n">
        <v>210</v>
      </c>
      <c r="H11" s="34" t="n">
        <v>4</v>
      </c>
    </row>
    <row r="12" customFormat="false" ht="15" hidden="false" customHeight="false" outlineLevel="0" collapsed="false">
      <c r="A12" s="4" t="s">
        <v>426</v>
      </c>
      <c r="B12" s="4" t="s">
        <v>429</v>
      </c>
      <c r="C12" s="10" t="s">
        <v>110</v>
      </c>
      <c r="D12" s="4" t="s">
        <v>335</v>
      </c>
      <c r="E12" s="4" t="s">
        <v>336</v>
      </c>
      <c r="F12" s="5" t="n">
        <v>46011</v>
      </c>
      <c r="G12" s="15" t="n">
        <v>35</v>
      </c>
      <c r="H12" s="34" t="n">
        <v>4</v>
      </c>
    </row>
    <row r="13" customFormat="false" ht="15" hidden="false" customHeight="false" outlineLevel="0" collapsed="false">
      <c r="A13" s="4" t="s">
        <v>426</v>
      </c>
      <c r="B13" s="4" t="s">
        <v>430</v>
      </c>
      <c r="C13" s="10" t="s">
        <v>113</v>
      </c>
      <c r="D13" s="4" t="s">
        <v>316</v>
      </c>
      <c r="E13" s="4" t="s">
        <v>317</v>
      </c>
      <c r="F13" s="5" t="n">
        <v>45809</v>
      </c>
      <c r="G13" s="15" t="n">
        <v>4.1</v>
      </c>
      <c r="H13" s="34" t="n">
        <v>4</v>
      </c>
    </row>
    <row r="14" customFormat="false" ht="15" hidden="false" customHeight="false" outlineLevel="0" collapsed="false">
      <c r="A14" s="4" t="s">
        <v>431</v>
      </c>
      <c r="B14" s="4" t="s">
        <v>432</v>
      </c>
      <c r="C14" s="10" t="s">
        <v>116</v>
      </c>
      <c r="D14" s="4" t="s">
        <v>433</v>
      </c>
      <c r="E14" s="4"/>
      <c r="F14" s="4"/>
      <c r="G14" s="15" t="n">
        <v>88.12</v>
      </c>
      <c r="H14" s="34" t="n">
        <v>5</v>
      </c>
    </row>
    <row r="15" customFormat="false" ht="15" hidden="false" customHeight="false" outlineLevel="0" collapsed="false">
      <c r="A15" s="4" t="s">
        <v>431</v>
      </c>
      <c r="B15" s="4" t="s">
        <v>434</v>
      </c>
      <c r="C15" s="10" t="s">
        <v>119</v>
      </c>
      <c r="D15" s="4" t="s">
        <v>435</v>
      </c>
      <c r="E15" s="4"/>
      <c r="F15" s="4"/>
      <c r="G15" s="15" t="n">
        <v>120</v>
      </c>
      <c r="H15" s="34" t="n">
        <v>5</v>
      </c>
    </row>
    <row r="16" customFormat="false" ht="15" hidden="false" customHeight="false" outlineLevel="0" collapsed="false">
      <c r="A16" s="4" t="s">
        <v>436</v>
      </c>
      <c r="B16" s="4" t="s">
        <v>437</v>
      </c>
      <c r="C16" s="10" t="s">
        <v>122</v>
      </c>
      <c r="D16" s="4" t="s">
        <v>438</v>
      </c>
      <c r="E16" s="4"/>
      <c r="F16" s="4"/>
      <c r="G16" s="15" t="n">
        <v>210</v>
      </c>
      <c r="H16" s="34" t="n">
        <v>6</v>
      </c>
    </row>
    <row r="17" customFormat="false" ht="15" hidden="false" customHeight="false" outlineLevel="0" collapsed="false">
      <c r="A17" s="4" t="s">
        <v>439</v>
      </c>
      <c r="B17" s="4" t="s">
        <v>437</v>
      </c>
      <c r="C17" s="10" t="s">
        <v>125</v>
      </c>
      <c r="D17" s="4" t="s">
        <v>440</v>
      </c>
      <c r="E17" s="4"/>
      <c r="F17" s="4"/>
      <c r="G17" s="15" t="n">
        <v>15.75</v>
      </c>
      <c r="H17" s="34" t="n">
        <v>6</v>
      </c>
    </row>
    <row r="19" customFormat="false" ht="15" hidden="false" customHeight="false" outlineLevel="0" collapsed="false">
      <c r="A19" s="8" t="s">
        <v>441</v>
      </c>
      <c r="B19" s="9"/>
      <c r="C19" s="9"/>
      <c r="D19" s="9"/>
      <c r="E19" s="9"/>
      <c r="F19" s="9"/>
      <c r="G19" s="9"/>
      <c r="H19" s="9"/>
    </row>
    <row r="20" customFormat="false" ht="23.85" hidden="false" customHeight="false" outlineLevel="0" collapsed="false">
      <c r="A20" s="6" t="s">
        <v>423</v>
      </c>
      <c r="B20" s="7" t="s">
        <v>74</v>
      </c>
      <c r="C20" s="7" t="s">
        <v>348</v>
      </c>
      <c r="D20" s="7" t="s">
        <v>101</v>
      </c>
      <c r="E20" s="7" t="s">
        <v>442</v>
      </c>
      <c r="F20" s="7" t="s">
        <v>443</v>
      </c>
      <c r="G20" s="7" t="s">
        <v>310</v>
      </c>
      <c r="H20" s="7" t="s">
        <v>312</v>
      </c>
    </row>
    <row r="21" customFormat="false" ht="15" hidden="false" customHeight="false" outlineLevel="0" collapsed="false">
      <c r="A21" s="3" t="s">
        <v>426</v>
      </c>
      <c r="B21" s="3" t="s">
        <v>427</v>
      </c>
      <c r="C21" s="10" t="s">
        <v>103</v>
      </c>
      <c r="D21" s="24" t="s">
        <v>105</v>
      </c>
      <c r="E21" s="12" t="n">
        <f aca="false">SUMPRODUCT(--($A$5:$A$17=$A21),--($B$5:$B$17=$B21),$G$5:$G$17)</f>
        <v>535.8</v>
      </c>
      <c r="F21" s="15" t="n">
        <v>535.8</v>
      </c>
      <c r="G21" s="16" t="n">
        <f aca="false">ROUND(E21-N(F21),2)</f>
        <v>0</v>
      </c>
      <c r="H21" s="34" t="n">
        <v>4</v>
      </c>
    </row>
    <row r="22" customFormat="false" ht="15" hidden="false" customHeight="false" outlineLevel="0" collapsed="false">
      <c r="A22" s="3" t="s">
        <v>426</v>
      </c>
      <c r="B22" s="3" t="s">
        <v>428</v>
      </c>
      <c r="C22" s="10" t="s">
        <v>107</v>
      </c>
      <c r="D22" s="24" t="s">
        <v>109</v>
      </c>
      <c r="E22" s="12" t="n">
        <f aca="false">SUMPRODUCT(--($A$5:$A$17=$A22),--($B$5:$B$17=$B22),$G$5:$G$17)</f>
        <v>290.7</v>
      </c>
      <c r="F22" s="15" t="n">
        <v>290.7</v>
      </c>
      <c r="G22" s="16" t="n">
        <f aca="false">ROUND(E22-N(F22),2)</f>
        <v>0</v>
      </c>
      <c r="H22" s="34" t="n">
        <v>4</v>
      </c>
    </row>
    <row r="23" customFormat="false" ht="15" hidden="false" customHeight="false" outlineLevel="0" collapsed="false">
      <c r="A23" s="3" t="s">
        <v>426</v>
      </c>
      <c r="B23" s="3" t="s">
        <v>429</v>
      </c>
      <c r="C23" s="10" t="s">
        <v>110</v>
      </c>
      <c r="D23" s="24" t="s">
        <v>112</v>
      </c>
      <c r="E23" s="12" t="n">
        <f aca="false">SUMPRODUCT(--($A$5:$A$17=$A23),--($B$5:$B$17=$B23),$G$5:$G$17)</f>
        <v>35</v>
      </c>
      <c r="F23" s="15" t="n">
        <v>35</v>
      </c>
      <c r="G23" s="16" t="n">
        <f aca="false">ROUND(E23-N(F23),2)</f>
        <v>0</v>
      </c>
      <c r="H23" s="34" t="n">
        <v>4</v>
      </c>
    </row>
    <row r="24" customFormat="false" ht="15" hidden="false" customHeight="false" outlineLevel="0" collapsed="false">
      <c r="A24" s="3" t="s">
        <v>426</v>
      </c>
      <c r="B24" s="3" t="s">
        <v>430</v>
      </c>
      <c r="C24" s="10" t="s">
        <v>113</v>
      </c>
      <c r="D24" s="24" t="s">
        <v>115</v>
      </c>
      <c r="E24" s="12" t="n">
        <f aca="false">SUMPRODUCT(--($A$5:$A$17=$A24),--($B$5:$B$17=$B24),$G$5:$G$17)</f>
        <v>4.1</v>
      </c>
      <c r="F24" s="15" t="n">
        <v>4.1</v>
      </c>
      <c r="G24" s="16" t="n">
        <f aca="false">ROUND(E24-N(F24),2)</f>
        <v>0</v>
      </c>
      <c r="H24" s="34" t="n">
        <v>4</v>
      </c>
    </row>
    <row r="25" customFormat="false" ht="15" hidden="false" customHeight="false" outlineLevel="0" collapsed="false">
      <c r="A25" s="3" t="s">
        <v>431</v>
      </c>
      <c r="B25" s="3" t="s">
        <v>432</v>
      </c>
      <c r="C25" s="10" t="s">
        <v>116</v>
      </c>
      <c r="D25" s="24" t="s">
        <v>118</v>
      </c>
      <c r="E25" s="12" t="n">
        <f aca="false">SUMPRODUCT(--($A$5:$A$17=$A25),--($B$5:$B$17=$B25),$G$5:$G$17)</f>
        <v>88.12</v>
      </c>
      <c r="F25" s="15" t="n">
        <v>88.12</v>
      </c>
      <c r="G25" s="16" t="n">
        <f aca="false">ROUND(E25-N(F25),2)</f>
        <v>0</v>
      </c>
      <c r="H25" s="34" t="n">
        <v>4</v>
      </c>
    </row>
    <row r="26" customFormat="false" ht="15" hidden="false" customHeight="false" outlineLevel="0" collapsed="false">
      <c r="A26" s="3" t="s">
        <v>431</v>
      </c>
      <c r="B26" s="3" t="s">
        <v>434</v>
      </c>
      <c r="C26" s="10" t="s">
        <v>119</v>
      </c>
      <c r="D26" s="24" t="s">
        <v>121</v>
      </c>
      <c r="E26" s="12" t="n">
        <f aca="false">SUMPRODUCT(--($A$5:$A$17=$A26),--($B$5:$B$17=$B26),$G$5:$G$17)</f>
        <v>120</v>
      </c>
      <c r="F26" s="15" t="n">
        <v>120</v>
      </c>
      <c r="G26" s="16" t="n">
        <f aca="false">ROUND(E26-N(F26),2)</f>
        <v>0</v>
      </c>
      <c r="H26" s="34" t="n">
        <v>4</v>
      </c>
    </row>
    <row r="27" customFormat="false" ht="15" hidden="false" customHeight="false" outlineLevel="0" collapsed="false">
      <c r="A27" s="3" t="s">
        <v>436</v>
      </c>
      <c r="B27" s="3" t="s">
        <v>437</v>
      </c>
      <c r="C27" s="10" t="s">
        <v>122</v>
      </c>
      <c r="D27" s="24" t="s">
        <v>124</v>
      </c>
      <c r="E27" s="12" t="n">
        <f aca="false">SUMPRODUCT(--($A$5:$A$17=$A27),--($B$5:$B$17=$B27),$G$5:$G$17)</f>
        <v>210</v>
      </c>
      <c r="F27" s="15" t="n">
        <v>210</v>
      </c>
      <c r="G27" s="16" t="n">
        <f aca="false">ROUND(E27-N(F27),2)</f>
        <v>0</v>
      </c>
      <c r="H27" s="34" t="n">
        <v>6</v>
      </c>
    </row>
    <row r="28" customFormat="false" ht="15" hidden="false" customHeight="false" outlineLevel="0" collapsed="false">
      <c r="A28" s="3" t="s">
        <v>439</v>
      </c>
      <c r="B28" s="3" t="s">
        <v>437</v>
      </c>
      <c r="C28" s="10" t="s">
        <v>125</v>
      </c>
      <c r="D28" s="24" t="s">
        <v>127</v>
      </c>
      <c r="E28" s="12" t="n">
        <f aca="false">SUMPRODUCT(--($A$5:$A$17=$A28),--($B$5:$B$17=$B28),$G$5:$G$17)</f>
        <v>15.75</v>
      </c>
      <c r="F28" s="15" t="n">
        <v>15.75</v>
      </c>
      <c r="G28" s="16" t="n">
        <f aca="false">ROUND(E28-N(F28),2)</f>
        <v>0</v>
      </c>
      <c r="H28" s="34" t="n">
        <v>4</v>
      </c>
    </row>
    <row r="30" customFormat="false" ht="15" hidden="false" customHeight="false" outlineLevel="0" collapsed="false">
      <c r="A30" s="8" t="s">
        <v>444</v>
      </c>
      <c r="B30" s="9"/>
      <c r="C30" s="9"/>
      <c r="D30" s="9"/>
      <c r="E30" s="9"/>
      <c r="F30" s="9"/>
      <c r="G30" s="9"/>
      <c r="H30" s="9"/>
    </row>
    <row r="31" customFormat="false" ht="23.85" hidden="false" customHeight="false" outlineLevel="0" collapsed="false">
      <c r="A31" s="6" t="s">
        <v>445</v>
      </c>
      <c r="C31" s="7" t="s">
        <v>348</v>
      </c>
      <c r="D31" s="7" t="s">
        <v>101</v>
      </c>
      <c r="E31" s="7" t="s">
        <v>100</v>
      </c>
      <c r="H31" s="7" t="s">
        <v>312</v>
      </c>
    </row>
    <row r="32" customFormat="false" ht="15" hidden="false" customHeight="false" outlineLevel="0" collapsed="false">
      <c r="A32" s="10" t="s">
        <v>446</v>
      </c>
      <c r="C32" s="4" t="s">
        <v>129</v>
      </c>
      <c r="D32" s="24" t="s">
        <v>131</v>
      </c>
      <c r="E32" s="15" t="n">
        <v>312.45</v>
      </c>
      <c r="H32" s="34" t="n">
        <v>30</v>
      </c>
    </row>
    <row r="33" customFormat="false" ht="15" hidden="false" customHeight="false" outlineLevel="0" collapsed="false">
      <c r="A33" s="10" t="s">
        <v>447</v>
      </c>
      <c r="C33" s="4" t="s">
        <v>448</v>
      </c>
      <c r="D33" s="24" t="s">
        <v>133</v>
      </c>
      <c r="E33" s="15" t="n">
        <v>6</v>
      </c>
      <c r="H33" s="34" t="n">
        <v>30</v>
      </c>
    </row>
    <row r="34" customFormat="false" ht="15" hidden="false" customHeight="false" outlineLevel="0" collapsed="false">
      <c r="A34" s="10" t="s">
        <v>449</v>
      </c>
      <c r="C34" s="4" t="s">
        <v>450</v>
      </c>
      <c r="D34" s="24" t="s">
        <v>135</v>
      </c>
      <c r="E34" s="15" t="n">
        <v>-1250</v>
      </c>
      <c r="H34" s="34" t="n">
        <v>18</v>
      </c>
    </row>
    <row r="36" customFormat="false" ht="15" hidden="false" customHeight="false" outlineLevel="0" collapsed="false">
      <c r="A36" s="8" t="s">
        <v>451</v>
      </c>
      <c r="B36" s="9"/>
      <c r="C36" s="9"/>
      <c r="D36" s="9"/>
      <c r="E36" s="9"/>
      <c r="F36" s="9"/>
      <c r="G36" s="9"/>
      <c r="H36" s="9"/>
    </row>
    <row r="37" customFormat="false" ht="23.85" hidden="false" customHeight="false" outlineLevel="0" collapsed="false">
      <c r="A37" s="6"/>
      <c r="C37" s="7" t="s">
        <v>87</v>
      </c>
      <c r="D37" s="7" t="s">
        <v>56</v>
      </c>
      <c r="E37" s="7" t="s">
        <v>452</v>
      </c>
      <c r="F37" s="7" t="s">
        <v>453</v>
      </c>
      <c r="G37" s="7" t="s">
        <v>454</v>
      </c>
      <c r="H37" s="7" t="s">
        <v>312</v>
      </c>
    </row>
    <row r="38" customFormat="false" ht="15" hidden="false" customHeight="false" outlineLevel="0" collapsed="false">
      <c r="C38" s="4" t="s">
        <v>335</v>
      </c>
      <c r="D38" s="4" t="s">
        <v>336</v>
      </c>
      <c r="E38" s="41" t="n">
        <v>0.4215</v>
      </c>
      <c r="F38" s="12" t="n">
        <f aca="false">SUMPRODUCT(--($A$5:$A$17="DIV"),--($B$5:$B$17="1a"),--($E$5:$E$17=$D38),$G$5:$G$17)</f>
        <v>245.1</v>
      </c>
      <c r="G38" s="12" t="n">
        <f aca="false">ROUND(E38*F38,2)</f>
        <v>103.31</v>
      </c>
      <c r="H38" s="34" t="n">
        <v>31</v>
      </c>
    </row>
    <row r="39" customFormat="false" ht="15" hidden="false" customHeight="false" outlineLevel="0" collapsed="false">
      <c r="C39" s="10" t="s">
        <v>455</v>
      </c>
      <c r="G39" s="12" t="n">
        <f aca="false">E26</f>
        <v>120</v>
      </c>
    </row>
    <row r="40" customFormat="false" ht="15" hidden="false" customHeight="false" outlineLevel="0" collapsed="false">
      <c r="C40" s="10" t="s">
        <v>456</v>
      </c>
      <c r="G40" s="12" t="n">
        <f aca="false">E27</f>
        <v>210</v>
      </c>
    </row>
    <row r="41" customFormat="false" ht="15" hidden="false" customHeight="false" outlineLevel="0" collapsed="false">
      <c r="C41" s="3" t="s">
        <v>457</v>
      </c>
      <c r="G41" s="14" t="n">
        <f aca="false">SUM(G38:G40)</f>
        <v>433.31</v>
      </c>
    </row>
  </sheetData>
  <autoFilter ref="A4:H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00"/>
    <col collapsed="false" customWidth="true" hidden="false" outlineLevel="0" max="4" min="4" style="0" width="15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458</v>
      </c>
    </row>
    <row r="2" customFormat="false" ht="15" hidden="false" customHeight="false" outlineLevel="0" collapsed="false">
      <c r="A2" s="2" t="s">
        <v>459</v>
      </c>
    </row>
    <row r="4" customFormat="false" ht="15" hidden="false" customHeight="false" outlineLevel="0" collapsed="false">
      <c r="A4" s="6" t="s">
        <v>460</v>
      </c>
      <c r="B4" s="7" t="s">
        <v>445</v>
      </c>
      <c r="C4" s="7" t="s">
        <v>461</v>
      </c>
      <c r="D4" s="7" t="s">
        <v>100</v>
      </c>
      <c r="E4" s="7" t="s">
        <v>9</v>
      </c>
    </row>
    <row r="5" customFormat="false" ht="23.85" hidden="false" customHeight="false" outlineLevel="0" collapsed="false">
      <c r="A5" s="36" t="n">
        <v>1</v>
      </c>
      <c r="B5" s="10" t="s">
        <v>462</v>
      </c>
      <c r="C5" s="42" t="s">
        <v>463</v>
      </c>
      <c r="D5" s="12" t="n">
        <v>850</v>
      </c>
      <c r="E5" s="27" t="s">
        <v>464</v>
      </c>
    </row>
    <row r="6" customFormat="false" ht="23.85" hidden="false" customHeight="false" outlineLevel="0" collapsed="false">
      <c r="A6" s="36" t="n">
        <v>2</v>
      </c>
      <c r="B6" s="10" t="s">
        <v>462</v>
      </c>
      <c r="C6" s="42" t="s">
        <v>465</v>
      </c>
      <c r="D6" s="12" t="n">
        <v>350</v>
      </c>
      <c r="E6" s="27" t="s">
        <v>464</v>
      </c>
    </row>
    <row r="7" customFormat="false" ht="15" hidden="false" customHeight="false" outlineLevel="0" collapsed="false">
      <c r="A7" s="36" t="n">
        <v>3</v>
      </c>
      <c r="B7" s="10" t="s">
        <v>466</v>
      </c>
      <c r="C7" s="42" t="s">
        <v>467</v>
      </c>
      <c r="D7" s="12" t="n">
        <v>2600</v>
      </c>
      <c r="E7" s="27" t="s">
        <v>464</v>
      </c>
    </row>
    <row r="8" customFormat="false" ht="15" hidden="false" customHeight="false" outlineLevel="0" collapsed="false">
      <c r="A8" s="36" t="n">
        <v>4</v>
      </c>
      <c r="B8" s="10" t="s">
        <v>468</v>
      </c>
      <c r="C8" s="42" t="s">
        <v>469</v>
      </c>
      <c r="D8" s="12" t="n">
        <v>4125</v>
      </c>
      <c r="E8" s="27" t="s">
        <v>464</v>
      </c>
    </row>
    <row r="9" customFormat="false" ht="15" hidden="false" customHeight="false" outlineLevel="0" collapsed="false">
      <c r="A9" s="36" t="n">
        <v>5</v>
      </c>
      <c r="B9" s="10" t="s">
        <v>331</v>
      </c>
      <c r="C9" s="42" t="s">
        <v>470</v>
      </c>
      <c r="D9" s="12" t="n">
        <v>4165</v>
      </c>
      <c r="E9" s="27" t="s">
        <v>464</v>
      </c>
    </row>
    <row r="10" customFormat="false" ht="15" hidden="false" customHeight="false" outlineLevel="0" collapsed="false">
      <c r="A10" s="36" t="n">
        <v>6</v>
      </c>
      <c r="B10" s="10" t="s">
        <v>331</v>
      </c>
      <c r="C10" s="42" t="s">
        <v>471</v>
      </c>
      <c r="D10" s="12" t="n">
        <v>4200</v>
      </c>
      <c r="E10" s="27" t="s">
        <v>464</v>
      </c>
    </row>
    <row r="11" customFormat="false" ht="15" hidden="false" customHeight="false" outlineLevel="0" collapsed="false">
      <c r="A11" s="36" t="n">
        <v>7</v>
      </c>
      <c r="B11" s="10" t="s">
        <v>468</v>
      </c>
      <c r="C11" s="42" t="s">
        <v>472</v>
      </c>
      <c r="D11" s="12" t="n">
        <v>2100</v>
      </c>
      <c r="E11" s="27" t="s">
        <v>464</v>
      </c>
    </row>
    <row r="12" customFormat="false" ht="15" hidden="false" customHeight="false" outlineLevel="0" collapsed="false">
      <c r="A12" s="36" t="n">
        <v>8</v>
      </c>
      <c r="B12" s="10" t="s">
        <v>331</v>
      </c>
      <c r="C12" s="42" t="s">
        <v>473</v>
      </c>
      <c r="D12" s="12" t="n">
        <v>2100</v>
      </c>
      <c r="E12" s="27" t="s">
        <v>464</v>
      </c>
    </row>
    <row r="13" customFormat="false" ht="15" hidden="false" customHeight="false" outlineLevel="0" collapsed="false">
      <c r="A13" s="36" t="n">
        <v>9</v>
      </c>
      <c r="B13" s="10" t="s">
        <v>474</v>
      </c>
      <c r="C13" s="42" t="s">
        <v>475</v>
      </c>
      <c r="E13" s="27" t="s">
        <v>464</v>
      </c>
    </row>
    <row r="14" customFormat="false" ht="15" hidden="false" customHeight="false" outlineLevel="0" collapsed="false">
      <c r="A14" s="36" t="n">
        <v>10</v>
      </c>
      <c r="B14" s="10" t="s">
        <v>474</v>
      </c>
      <c r="C14" s="42" t="s">
        <v>476</v>
      </c>
      <c r="E14" s="27" t="s">
        <v>464</v>
      </c>
    </row>
    <row r="15" customFormat="false" ht="15" hidden="false" customHeight="false" outlineLevel="0" collapsed="false">
      <c r="A15" s="36" t="n">
        <v>11</v>
      </c>
      <c r="B15" s="10" t="s">
        <v>477</v>
      </c>
      <c r="C15" s="42" t="s">
        <v>478</v>
      </c>
      <c r="D15" s="12" t="n">
        <v>40</v>
      </c>
      <c r="E15" s="27" t="s">
        <v>464</v>
      </c>
    </row>
    <row r="16" customFormat="false" ht="15" hidden="false" customHeight="false" outlineLevel="0" collapsed="false">
      <c r="A16" s="36" t="n">
        <v>12</v>
      </c>
      <c r="B16" s="10" t="s">
        <v>479</v>
      </c>
      <c r="C16" s="42" t="s">
        <v>480</v>
      </c>
      <c r="D16" s="12" t="n">
        <v>15.75</v>
      </c>
      <c r="E16" s="27" t="s">
        <v>464</v>
      </c>
    </row>
    <row r="17" customFormat="false" ht="23.85" hidden="false" customHeight="false" outlineLevel="0" collapsed="false">
      <c r="A17" s="36" t="n">
        <v>13</v>
      </c>
      <c r="B17" s="10" t="s">
        <v>107</v>
      </c>
      <c r="C17" s="42" t="s">
        <v>481</v>
      </c>
      <c r="D17" s="12" t="n">
        <v>80.7</v>
      </c>
      <c r="E17" s="27" t="s">
        <v>464</v>
      </c>
    </row>
    <row r="18" customFormat="false" ht="15" hidden="false" customHeight="false" outlineLevel="0" collapsed="false">
      <c r="A18" s="36" t="n">
        <v>14</v>
      </c>
      <c r="B18" s="10" t="s">
        <v>482</v>
      </c>
      <c r="C18" s="42" t="s">
        <v>483</v>
      </c>
      <c r="D18" s="12" t="n">
        <v>-1250</v>
      </c>
      <c r="E18" s="27" t="s">
        <v>464</v>
      </c>
    </row>
    <row r="19" customFormat="false" ht="23.85" hidden="false" customHeight="false" outlineLevel="0" collapsed="false">
      <c r="A19" s="36" t="n">
        <v>15</v>
      </c>
      <c r="B19" s="10" t="s">
        <v>484</v>
      </c>
      <c r="C19" s="42" t="s">
        <v>485</v>
      </c>
      <c r="D19" s="12" t="n">
        <v>312.45</v>
      </c>
      <c r="E19" s="27" t="s">
        <v>464</v>
      </c>
    </row>
    <row r="20" customFormat="false" ht="15" hidden="false" customHeight="false" outlineLevel="0" collapsed="false">
      <c r="A20" s="36" t="n">
        <v>16</v>
      </c>
      <c r="B20" s="10" t="s">
        <v>486</v>
      </c>
      <c r="C20" s="42" t="s">
        <v>487</v>
      </c>
      <c r="D20" s="12" t="n">
        <v>6</v>
      </c>
      <c r="E20" s="27" t="s">
        <v>464</v>
      </c>
    </row>
    <row r="21" customFormat="false" ht="15" hidden="false" customHeight="false" outlineLevel="0" collapsed="false">
      <c r="A21" s="36" t="n">
        <v>17</v>
      </c>
      <c r="B21" s="10" t="s">
        <v>137</v>
      </c>
      <c r="C21" s="42" t="s">
        <v>488</v>
      </c>
      <c r="D21" s="12" t="n">
        <v>433.31</v>
      </c>
      <c r="E21" s="27" t="s">
        <v>464</v>
      </c>
    </row>
    <row r="22" customFormat="false" ht="15" hidden="false" customHeight="false" outlineLevel="0" collapsed="false">
      <c r="A22" s="36" t="n">
        <v>18</v>
      </c>
      <c r="B22" s="10" t="s">
        <v>489</v>
      </c>
      <c r="C22" s="42" t="s">
        <v>490</v>
      </c>
      <c r="E22" s="27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2026-10-14T02:31:25Z</dcterms:created>
  <dc:creator>openpyxl</dc:creator>
  <dc:description/>
  <dc:language>en-US</dc:language>
  <cp:lastModifiedBy/>
  <dcterms:modified xsi:type="dcterms:W3CDTF">2026-10-14T02:31:25Z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