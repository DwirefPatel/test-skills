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Exceptions" sheetId="2" state="visible" r:id="rId4"/>
    <sheet name="Corrections" sheetId="3" state="visible" r:id="rId5"/>
    <sheet name="Tie-Out" sheetId="4" state="visible" r:id="rId6"/>
    <sheet name="Run Log" sheetId="5" state="visible" r:id="rId7"/>
    <sheet name="Audit Integrity" sheetId="6" state="visible" r:id="rId8"/>
    <sheet name="6789 Sam Rivera" sheetId="7" state="visible" r:id="rId9"/>
    <sheet name="4321 Lee Chen" sheetId="8" state="visible" r:id="rId10"/>
    <sheet name="2222 Kim Patel" sheetId="9" state="visible" r:id="rId11"/>
  </sheets>
  <definedNames>
    <definedName function="false" hidden="false" localSheetId="8" name="_xlnm.Print_Area" vbProcedure="false">'2222 Kim Patel'!$A$1:$G$23</definedName>
    <definedName function="false" hidden="false" localSheetId="8" name="_xlnm.Print_Titles" vbProcedure="false">'2222 Kim Patel'!$1:$2</definedName>
    <definedName function="false" hidden="false" localSheetId="7" name="_xlnm.Print_Area" vbProcedure="false">'4321 Lee Chen'!$A$1:$G$27</definedName>
    <definedName function="false" hidden="false" localSheetId="7" name="_xlnm.Print_Titles" vbProcedure="false">'4321 Lee Chen'!$1:$2</definedName>
    <definedName function="false" hidden="false" localSheetId="6" name="_xlnm.Print_Area" vbProcedure="false">'6789 Sam Rivera'!$A$1:$G$50</definedName>
    <definedName function="false" hidden="false" localSheetId="6" name="_xlnm.Print_Titles" vbProcedure="false">'6789 Sam Rivera'!$1:$2</definedName>
    <definedName function="false" hidden="false" localSheetId="5" name="_xlnm.Print_Area" vbProcedure="false">'Audit Integrity'!$A$1:$B$12</definedName>
    <definedName function="false" hidden="false" localSheetId="5" name="_xlnm.Print_Titles" vbProcedure="false">'Audit Integrity'!$1:$2</definedName>
    <definedName function="false" hidden="false" localSheetId="2" name="_xlnm.Print_Area" vbProcedure="false">Corrections!$A$1:$L$14</definedName>
    <definedName function="false" hidden="false" localSheetId="2" name="_xlnm.Print_Titles" vbProcedure="false">Corrections!$1:$4</definedName>
    <definedName function="false" hidden="false" localSheetId="1" name="_xlnm.Print_Area" vbProcedure="false">Exceptions!$A$1:$L$13</definedName>
    <definedName function="false" hidden="false" localSheetId="1" name="_xlnm.Print_Titles" vbProcedure="false">Exceptions!$1:$4</definedName>
    <definedName function="false" hidden="false" localSheetId="4" name="_xlnm.Print_Area" vbProcedure="false">'Run Log'!$A$1:$L$12</definedName>
    <definedName function="false" hidden="false" localSheetId="4" name="_xlnm.Print_Titles" vbProcedure="false">'Run Log'!$1:$4</definedName>
    <definedName function="false" hidden="false" localSheetId="0" name="_xlnm.Print_Area" vbProcedure="false">Summary!$A$1:$M$11</definedName>
    <definedName function="false" hidden="false" localSheetId="0" name="_xlnm.Print_Titles" vbProcedure="false">Summary!$1:$8</definedName>
    <definedName function="false" hidden="false" localSheetId="3" name="_xlnm.Print_Area" vbProcedure="false">'Tie-Out'!$A$1:$I$15</definedName>
    <definedName function="false" hidden="false" localSheetId="3" name="_xlnm.Print_Titles" vbProcedure="false">'Tie-Out'!$1:$4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<sst xmlns="http://schemas.openxmlformats.org/spreadsheetml/2006/main" count="925" uniqueCount="236">
  <si>
    <t xml:space="preserve">Drake Entry Tracker - Summary</t>
  </si>
  <si>
    <t xml:space="preserve">Built 2026-09-23 22:38 from the audit log. Counts are formulas that read each client tab. Resolve every item on the Exceptions tab before sign-off.</t>
  </si>
  <si>
    <t xml:space="preserve">Prepared by</t>
  </si>
  <si>
    <t xml:space="preserve">QA</t>
  </si>
  <si>
    <t xml:space="preserve">Reviewed by</t>
  </si>
  <si>
    <t xml:space="preserve">Review date</t>
  </si>
  <si>
    <t xml:space="preserve">Client</t>
  </si>
  <si>
    <t xml:space="preserve">Name</t>
  </si>
  <si>
    <t xml:space="preserve">Form</t>
  </si>
  <si>
    <t xml:space="preserve">Documents</t>
  </si>
  <si>
    <t xml:space="preserve">Fields Entered</t>
  </si>
  <si>
    <t xml:space="preserve">Open Mismatches</t>
  </si>
  <si>
    <t xml:space="preserve">Incomplete</t>
  </si>
  <si>
    <t xml:space="preserve">Not Read Back</t>
  </si>
  <si>
    <t xml:space="preserve">Corrections</t>
  </si>
  <si>
    <t xml:space="preserve">Tie-Out</t>
  </si>
  <si>
    <t xml:space="preserve">Status</t>
  </si>
  <si>
    <t xml:space="preserve">Reviewer</t>
  </si>
  <si>
    <t xml:space="preserve">Date Reviewed</t>
  </si>
  <si>
    <t xml:space="preserve">***-**-6789</t>
  </si>
  <si>
    <t xml:space="preserve">Sam Rivera</t>
  </si>
  <si>
    <t xml:space="preserve">Form W-2 - Wage and Tax Statement</t>
  </si>
  <si>
    <t xml:space="preserve">Not confirmed</t>
  </si>
  <si>
    <t xml:space="preserve">***-**-4321</t>
  </si>
  <si>
    <t xml:space="preserve">Lee Chen</t>
  </si>
  <si>
    <t xml:space="preserve">***-**-2222</t>
  </si>
  <si>
    <t xml:space="preserve">Kim Patel</t>
  </si>
  <si>
    <t xml:space="preserve">Exceptions</t>
  </si>
  <si>
    <t xml:space="preserve">Items needing attention before sign-off. High = must resolve; Medium = review; Info = confirm against the screenshot.</t>
  </si>
  <si>
    <t xml:space="preserve">Severity</t>
  </si>
  <si>
    <t xml:space="preserve">Document</t>
  </si>
  <si>
    <t xml:space="preserve">Field / Item</t>
  </si>
  <si>
    <t xml:space="preserve">Issue</t>
  </si>
  <si>
    <t xml:space="preserve">Source</t>
  </si>
  <si>
    <t xml:space="preserve">Drake</t>
  </si>
  <si>
    <t xml:space="preserve">Note</t>
  </si>
  <si>
    <t xml:space="preserve">When</t>
  </si>
  <si>
    <t xml:space="preserve">Resolved By</t>
  </si>
  <si>
    <t xml:space="preserve">Resolution</t>
  </si>
  <si>
    <t xml:space="preserve">Medium</t>
  </si>
  <si>
    <t xml:space="preserve">W2</t>
  </si>
  <si>
    <t xml:space="preserve">Tie-out</t>
  </si>
  <si>
    <t xml:space="preserve">Tie-out not confirmed yet</t>
  </si>
  <si>
    <t xml:space="preserve">Info</t>
  </si>
  <si>
    <t xml:space="preserve">W-2 #1</t>
  </si>
  <si>
    <t xml:space="preserve">TS - Taxpayer / Spouse</t>
  </si>
  <si>
    <t xml:space="preserve">Not read back - check screenshot</t>
  </si>
  <si>
    <t xml:space="preserve">T</t>
  </si>
  <si>
    <t xml:space="preserve">2026-09-23 22:38:50</t>
  </si>
  <si>
    <t xml:space="preserve">13 - Retirement plan</t>
  </si>
  <si>
    <t xml:space="preserve">X</t>
  </si>
  <si>
    <t xml:space="preserve">W-2 #2</t>
  </si>
  <si>
    <t xml:space="preserve">S</t>
  </si>
  <si>
    <t xml:space="preserve">2026-09-23 22:38:56</t>
  </si>
  <si>
    <t xml:space="preserve">2026-09-23 22:38:54</t>
  </si>
  <si>
    <t xml:space="preserve">Every change made to Drake after the original entry. 'Before' and 'After' are read from the Drake screen.</t>
  </si>
  <si>
    <t xml:space="preserve">Document #</t>
  </si>
  <si>
    <t xml:space="preserve">Field</t>
  </si>
  <si>
    <t xml:space="preserve">Before (Drake)</t>
  </si>
  <si>
    <t xml:space="preserve">After (Drake)</t>
  </si>
  <si>
    <t xml:space="preserve">Source Value</t>
  </si>
  <si>
    <t xml:space="preserve">Reason</t>
  </si>
  <si>
    <t xml:space="preserve">Result</t>
  </si>
  <si>
    <t xml:space="preserve">By</t>
  </si>
  <si>
    <t xml:space="preserve">Run ID</t>
  </si>
  <si>
    <t xml:space="preserve">2026-09-23 22:38:53</t>
  </si>
  <si>
    <t xml:space="preserve">1</t>
  </si>
  <si>
    <t xml:space="preserve">2 - Federal income tax withheld</t>
  </si>
  <si>
    <t xml:space="preserve">99999</t>
  </si>
  <si>
    <t xml:space="preserve">6100</t>
  </si>
  <si>
    <t xml:space="preserve">Keying error</t>
  </si>
  <si>
    <t xml:space="preserve">Fixed</t>
  </si>
  <si>
    <t xml:space="preserve">20260923-223853</t>
  </si>
  <si>
    <t xml:space="preserve">3 - Social security wages</t>
  </si>
  <si>
    <t xml:space="preserve">61000</t>
  </si>
  <si>
    <t xml:space="preserve">4 - Social security tax withheld</t>
  </si>
  <si>
    <t xml:space="preserve">3782</t>
  </si>
  <si>
    <t xml:space="preserve">5 - Medicare wages and tips</t>
  </si>
  <si>
    <t xml:space="preserve">6 - Medicare tax withheld</t>
  </si>
  <si>
    <t xml:space="preserve">884.50</t>
  </si>
  <si>
    <t xml:space="preserve">15 - State</t>
  </si>
  <si>
    <t xml:space="preserve">CO</t>
  </si>
  <si>
    <t xml:space="preserve">16 - State wages, tips, etc.</t>
  </si>
  <si>
    <t xml:space="preserve">17 - State income tax</t>
  </si>
  <si>
    <t xml:space="preserve">2684</t>
  </si>
  <si>
    <t xml:space="preserve">2026-09-23 22:38:55</t>
  </si>
  <si>
    <t xml:space="preserve">b - Employer identification number (EIN)</t>
  </si>
  <si>
    <t xml:space="preserve">201112223</t>
  </si>
  <si>
    <t xml:space="preserve">201112299</t>
  </si>
  <si>
    <t xml:space="preserve">20-1112299</t>
  </si>
  <si>
    <t xml:space="preserve">20260923-223855</t>
  </si>
  <si>
    <t xml:space="preserve">Totals from the input workbook to agree to the return in Drake. Latest confirmation per client/form/total (full history in the audit log).</t>
  </si>
  <si>
    <t xml:space="preserve">Total</t>
  </si>
  <si>
    <t xml:space="preserve">Amount per Source</t>
  </si>
  <si>
    <t xml:space="preserve">Ties To</t>
  </si>
  <si>
    <t xml:space="preserve">Agrees?</t>
  </si>
  <si>
    <t xml:space="preserve">Confirmed By</t>
  </si>
  <si>
    <t xml:space="preserve">Total Box 1 wages</t>
  </si>
  <si>
    <t xml:space="preserve">Form 1040, line 1a</t>
  </si>
  <si>
    <t xml:space="preserve">Not checked</t>
  </si>
  <si>
    <t xml:space="preserve">Total Box 2 federal withholding</t>
  </si>
  <si>
    <t xml:space="preserve">Form 1040, line 25a</t>
  </si>
  <si>
    <t xml:space="preserve">Taxpayer Box 1</t>
  </si>
  <si>
    <t xml:space="preserve">W-2 summary</t>
  </si>
  <si>
    <t xml:space="preserve">Spouse Box 1</t>
  </si>
  <si>
    <t xml:space="preserve">Total Box 17 CO withholding</t>
  </si>
  <si>
    <t xml:space="preserve">CO return withholding</t>
  </si>
  <si>
    <t xml:space="preserve">Run Log</t>
  </si>
  <si>
    <t xml:space="preserve">Every run of the tool. The input SHA-256 proves which version of the input workbook was used.</t>
  </si>
  <si>
    <t xml:space="preserve">Mode</t>
  </si>
  <si>
    <t xml:space="preserve">Started</t>
  </si>
  <si>
    <t xml:space="preserve">Ended</t>
  </si>
  <si>
    <t xml:space="preserve">Summary</t>
  </si>
  <si>
    <t xml:space="preserve">Initials</t>
  </si>
  <si>
    <t xml:space="preserve">Windows User</t>
  </si>
  <si>
    <t xml:space="preserve">Machine</t>
  </si>
  <si>
    <t xml:space="preserve">Input File</t>
  </si>
  <si>
    <t xml:space="preserve">Input SHA-256</t>
  </si>
  <si>
    <t xml:space="preserve">Tool Version</t>
  </si>
  <si>
    <t xml:space="preserve">20260923-223850</t>
  </si>
  <si>
    <t xml:space="preserve">enter</t>
  </si>
  <si>
    <t xml:space="preserve">stopped</t>
  </si>
  <si>
    <t xml:space="preserve">1 mismatches</t>
  </si>
  <si>
    <t xml:space="preserve">root</t>
  </si>
  <si>
    <t xml:space="preserve">vm</t>
  </si>
  <si>
    <t xml:space="preserve">Client_Input.xlsx</t>
  </si>
  <si>
    <t xml:space="preserve">f4900036b54ccd0c4e61d02d</t>
  </si>
  <si>
    <t xml:space="preserve">2.0.0</t>
  </si>
  <si>
    <t xml:space="preserve">20260923-223851</t>
  </si>
  <si>
    <t xml:space="preserve">2026-09-23 22:38:51</t>
  </si>
  <si>
    <t xml:space="preserve">completed</t>
  </si>
  <si>
    <t xml:space="preserve">20260923-223852</t>
  </si>
  <si>
    <t xml:space="preserve">verify</t>
  </si>
  <si>
    <t xml:space="preserve">2026-09-23 22:38:52</t>
  </si>
  <si>
    <t xml:space="preserve">1 verified, 8 mismatches</t>
  </si>
  <si>
    <t xml:space="preserve">1 verified</t>
  </si>
  <si>
    <t xml:space="preserve">20260923-223854</t>
  </si>
  <si>
    <t xml:space="preserve">1 entered</t>
  </si>
  <si>
    <t xml:space="preserve">18c2c4a1d5953627f852051b</t>
  </si>
  <si>
    <t xml:space="preserve">correct</t>
  </si>
  <si>
    <t xml:space="preserve">1 verified, 1 corrected, 1 mismatches</t>
  </si>
  <si>
    <t xml:space="preserve">ddd80cfc99528d64b441ad3c</t>
  </si>
  <si>
    <t xml:space="preserve">20260923-223856</t>
  </si>
  <si>
    <t xml:space="preserve">Audit Integrity</t>
  </si>
  <si>
    <t xml:space="preserve">The audit log is append-only and hash-chained: each entry includes the SHA-256 of the entry before it, so any edit, deletion or reordering is detected.</t>
  </si>
  <si>
    <t xml:space="preserve">Audit log</t>
  </si>
  <si>
    <t xml:space="preserve">audit_log.jsonl</t>
  </si>
  <si>
    <t xml:space="preserve">Chain check</t>
  </si>
  <si>
    <t xml:space="preserve">PASSED - no entries altered, removed or reordered</t>
  </si>
  <si>
    <t xml:space="preserve">Entries checked</t>
  </si>
  <si>
    <t xml:space="preserve">First entry</t>
  </si>
  <si>
    <t xml:space="preserve">Last entry</t>
  </si>
  <si>
    <t xml:space="preserve">Last entry hash</t>
  </si>
  <si>
    <t xml:space="preserve">c7055bff26c826c2d118f37cc05c382c2f6898790ddcabf8e65ab539e08a39c0</t>
  </si>
  <si>
    <t xml:space="preserve">Checked at</t>
  </si>
  <si>
    <t xml:space="preserve">2026-09-23 22:38:58</t>
  </si>
  <si>
    <t xml:space="preserve">Re-check anytime</t>
  </si>
  <si>
    <t xml:space="preserve">python run.py audit-verify</t>
  </si>
  <si>
    <t xml:space="preserve">Retention</t>
  </si>
  <si>
    <t xml:space="preserve">Keep logs/, evidence/ and tracking/ with the client file per your firm's retention policy.</t>
  </si>
  <si>
    <t xml:space="preserve">Sam Rivera (***-**-6789) - Drake Entry Tracker</t>
  </si>
  <si>
    <t xml:space="preserve">Source Document = input workbook value.  Entered in Drake = value read back from the Drake screen (typed value where the field can't be read back).  Reviewer: initial each line or each document.</t>
  </si>
  <si>
    <t xml:space="preserve">FORM W-2 - WAGE AND TAX STATEMENT</t>
  </si>
  <si>
    <t xml:space="preserve">W-2 #1  -  84-1234567 | Front Range Hotels LLC  -  entered 2026-09-23 22:38:50 by QA  -  Complete - some fields not read back</t>
  </si>
  <si>
    <t xml:space="preserve">INSTANCE</t>
  </si>
  <si>
    <t xml:space="preserve">Complete - some fields not read back</t>
  </si>
  <si>
    <t xml:space="preserve">Evidence: screenshot 223850_6789_W2_1.png  (SHA-256 dac9b8759818a663...)</t>
  </si>
  <si>
    <t xml:space="preserve">Drake Screen Field</t>
  </si>
  <si>
    <t xml:space="preserve">Source Document (W-2)</t>
  </si>
  <si>
    <t xml:space="preserve">Entered in Drake</t>
  </si>
  <si>
    <t xml:space="preserve">Verified</t>
  </si>
  <si>
    <t xml:space="preserve">Last Action</t>
  </si>
  <si>
    <t xml:space="preserve">Notes</t>
  </si>
  <si>
    <t xml:space="preserve">Not read back</t>
  </si>
  <si>
    <t xml:space="preserve">Entered 2026-09-23 22:38:50 QA</t>
  </si>
  <si>
    <t xml:space="preserve">Can't be read back; check the screenshot.</t>
  </si>
  <si>
    <t xml:space="preserve">FIELD</t>
  </si>
  <si>
    <t xml:space="preserve">84-1234567</t>
  </si>
  <si>
    <t xml:space="preserve">841234567</t>
  </si>
  <si>
    <t xml:space="preserve">OK</t>
  </si>
  <si>
    <t xml:space="preserve">c - Employer name</t>
  </si>
  <si>
    <t xml:space="preserve">Front Range Hotels LLC</t>
  </si>
  <si>
    <t xml:space="preserve">c - Employer street address</t>
  </si>
  <si>
    <t xml:space="preserve">1600 Broadway</t>
  </si>
  <si>
    <t xml:space="preserve">c - Employer city</t>
  </si>
  <si>
    <t xml:space="preserve">Denver</t>
  </si>
  <si>
    <t xml:space="preserve">c - Employer state</t>
  </si>
  <si>
    <t xml:space="preserve">c - Employer ZIP</t>
  </si>
  <si>
    <t xml:space="preserve">80202</t>
  </si>
  <si>
    <t xml:space="preserve">1 - Wages, tips, other compensation</t>
  </si>
  <si>
    <t xml:space="preserve">52,000.00</t>
  </si>
  <si>
    <t xml:space="preserve">52000</t>
  </si>
  <si>
    <t xml:space="preserve">4800</t>
  </si>
  <si>
    <t xml:space="preserve">55000</t>
  </si>
  <si>
    <t xml:space="preserve">3400</t>
  </si>
  <si>
    <t xml:space="preserve">797.50</t>
  </si>
  <si>
    <t xml:space="preserve">12a - Code</t>
  </si>
  <si>
    <t xml:space="preserve">D</t>
  </si>
  <si>
    <t xml:space="preserve">12a - Amount</t>
  </si>
  <si>
    <t xml:space="preserve">3000</t>
  </si>
  <si>
    <t xml:space="preserve">15 - Employer's state ID number</t>
  </si>
  <si>
    <t xml:space="preserve">12345678</t>
  </si>
  <si>
    <t xml:space="preserve">2288</t>
  </si>
  <si>
    <t xml:space="preserve">W-2 #2  -  84-7654321 | Aurora School District  -  entered 2026-09-23 22:38:50 by QA  -  Complete - some fields not read back</t>
  </si>
  <si>
    <t xml:space="preserve">Evidence: screenshot 223850_6789_W2_2.png  (SHA-256 dac9b8759818a663...)</t>
  </si>
  <si>
    <t xml:space="preserve">84-7654321</t>
  </si>
  <si>
    <t xml:space="preserve">847654321</t>
  </si>
  <si>
    <t xml:space="preserve">Aurora School District</t>
  </si>
  <si>
    <t xml:space="preserve">Aurora</t>
  </si>
  <si>
    <t xml:space="preserve">80010</t>
  </si>
  <si>
    <t xml:space="preserve">38500</t>
  </si>
  <si>
    <t xml:space="preserve">2900</t>
  </si>
  <si>
    <t xml:space="preserve">2387</t>
  </si>
  <si>
    <t xml:space="preserve">558.25</t>
  </si>
  <si>
    <t xml:space="preserve">1694</t>
  </si>
  <si>
    <t xml:space="preserve">Lee Chen (***-**-4321) - Drake Entry Tracker</t>
  </si>
  <si>
    <t xml:space="preserve">W-2 #1  -  20-1112299 | Peak Logistics Inc  -  entered 2026-09-23 22:38:50 by QA  -  Complete - some fields not read back</t>
  </si>
  <si>
    <t xml:space="preserve">Evidence: screenshot 223855_4321_W2_1.png  (SHA-256 dac9b8759818a663...)</t>
  </si>
  <si>
    <t xml:space="preserve">Last verified/corrected: 2026-09-23 22:38:56 QA</t>
  </si>
  <si>
    <t xml:space="preserve">Verified 2026-09-23 22:38:56 QA</t>
  </si>
  <si>
    <t xml:space="preserve">Peak Logistics Inc</t>
  </si>
  <si>
    <t xml:space="preserve">80216</t>
  </si>
  <si>
    <t xml:space="preserve">Kim Patel (***-**-2222) - Drake Entry Tracker</t>
  </si>
  <si>
    <t xml:space="preserve">W-2 #1  -  33-4445556 | Summit Dental PC  -  entered 2026-09-23 22:38:54 by QA  -  Complete - some fields not read back</t>
  </si>
  <si>
    <t xml:space="preserve">Evidence: screenshot 223854_2222_W2_1.png  (SHA-256 dac9b8759818a663...)</t>
  </si>
  <si>
    <t xml:space="preserve">Entered 2026-09-23 22:38:54 QA</t>
  </si>
  <si>
    <t xml:space="preserve">33-4445556</t>
  </si>
  <si>
    <t xml:space="preserve">334445556</t>
  </si>
  <si>
    <t xml:space="preserve">Summit Dental PC</t>
  </si>
  <si>
    <t xml:space="preserve">Drake had pre-filled 'SUMMIT DENTAL'; replaced with the source value.</t>
  </si>
  <si>
    <t xml:space="preserve">Boulder</t>
  </si>
  <si>
    <t xml:space="preserve">80302</t>
  </si>
  <si>
    <t xml:space="preserve">47000</t>
  </si>
  <si>
    <t xml:space="preserve">3900</t>
  </si>
  <si>
    <t xml:space="preserve">2914</t>
  </si>
  <si>
    <t xml:space="preserve">681.50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</si>
</sst>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;\-"/>
    <numFmt numFmtId="166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9"/>
      <color rgb="FF0563C1"/>
      <name val="Arial"/>
      <family val="0"/>
      <charset val="1"/>
    </font>
    <font>
      <i val="true"/>
      <sz val="9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F8CBAD"/>
        </patternFill>
      </fill>
    </dxf>
    <dxf>
      <fill>
        <patternFill>
          <bgColor rgb="FFE2EFDA"/>
        </patternFill>
      </fill>
    </dxf>
    <dxf>
      <fill>
        <patternFill>
          <bgColor rgb="FFFFE699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  <dxf>
      <font>
        <name val="Arial"/>
        <charset val="1"/>
        <family val="0"/>
        <color rgb="FF00610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../evidence/screenshots/20260923-223850/223850_6789_W2_1.png" TargetMode="External"/><Relationship Id="rId2" Type="http://schemas.openxmlformats.org/officeDocument/2006/relationships/hyperlink" Target="../evidence/screenshots/20260923-223850/223850_6789_W2_2.png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../evidence/screenshots/20260923-223855/223855_4321_W2_1.png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../evidence/screenshots/20260923-223854/223854_2222_W2_1.pn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5" min="4" style="0" width="11"/>
    <col collapsed="false" customWidth="true" hidden="false" outlineLevel="0" max="6" min="6" style="0" width="12"/>
    <col collapsed="false" customWidth="true" hidden="false" outlineLevel="0" max="9" min="7" style="0" width="11"/>
    <col collapsed="false" customWidth="true" hidden="false" outlineLevel="0" max="10" min="10" style="0" width="14"/>
    <col collapsed="false" customWidth="true" hidden="false" outlineLevel="0" max="11" min="11" style="0" width="24"/>
    <col collapsed="false" customWidth="true" hidden="false" outlineLevel="0" max="12" min="12" style="0" width="10"/>
    <col collapsed="false" customWidth="true" hidden="false" outlineLevel="0" max="13" min="13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5"/>
    </row>
    <row r="6" customFormat="false" ht="15" hidden="false" customHeight="false" outlineLevel="0" collapsed="false">
      <c r="A6" s="3" t="s">
        <v>5</v>
      </c>
      <c r="B6" s="5"/>
    </row>
    <row r="8" customFormat="false" ht="23.85" hidden="false" customHeight="false" outlineLevel="0" collapsed="false">
      <c r="A8" s="6" t="s">
        <v>6</v>
      </c>
      <c r="B8" s="6" t="s">
        <v>7</v>
      </c>
      <c r="C8" s="6" t="s">
        <v>8</v>
      </c>
      <c r="D8" s="6" t="s">
        <v>9</v>
      </c>
      <c r="E8" s="6" t="s">
        <v>10</v>
      </c>
      <c r="F8" s="6" t="s">
        <v>11</v>
      </c>
      <c r="G8" s="6" t="s">
        <v>12</v>
      </c>
      <c r="H8" s="6" t="s">
        <v>13</v>
      </c>
      <c r="I8" s="6" t="s">
        <v>14</v>
      </c>
      <c r="J8" s="6" t="s">
        <v>15</v>
      </c>
      <c r="K8" s="6" t="s">
        <v>16</v>
      </c>
      <c r="L8" s="6" t="s">
        <v>17</v>
      </c>
      <c r="M8" s="6" t="s">
        <v>18</v>
      </c>
    </row>
    <row r="9" customFormat="false" ht="15" hidden="false" customHeight="false" outlineLevel="0" collapsed="false">
      <c r="A9" s="7" t="s">
        <v>19</v>
      </c>
      <c r="B9" s="7" t="s">
        <v>20</v>
      </c>
      <c r="C9" s="7" t="s">
        <v>21</v>
      </c>
      <c r="D9" s="7" t="n">
        <f aca="false">COUNTIFS('6789 Sam Rivera'!H:H,"W2",'6789 Sam Rivera'!I:I,"INSTANCE")</f>
        <v>2</v>
      </c>
      <c r="E9" s="7" t="n">
        <f aca="false">COUNTIFS('6789 Sam Rivera'!H:H,"W2",'6789 Sam Rivera'!I:I,"FIELD")</f>
        <v>35</v>
      </c>
      <c r="F9" s="7" t="n">
        <f aca="false">COUNTIFS('6789 Sam Rivera'!H:H,"W2",'6789 Sam Rivera'!D:D,"MISMATCH")</f>
        <v>0</v>
      </c>
      <c r="G9" s="7" t="n">
        <f aca="false">COUNTIFS('6789 Sam Rivera'!H:H,"W2",'6789 Sam Rivera'!J:J,"Incomplete")</f>
        <v>0</v>
      </c>
      <c r="H9" s="7" t="n">
        <f aca="false">COUNTIFS('6789 Sam Rivera'!H:H,"W2",'6789 Sam Rivera'!D:D,"Not read back")</f>
        <v>3</v>
      </c>
      <c r="I9" s="7" t="n">
        <f aca="false">COUNTIFS(Corrections!B:B,A9,Corrections!C:C,"W2")</f>
        <v>0</v>
      </c>
      <c r="J9" s="7" t="s">
        <v>22</v>
      </c>
      <c r="K9" s="7" t="str">
        <f aca="false">IF(F9&gt;0,"Open mismatches",IF(G9&gt;0,"Incomplete entries",IF(J9="DID NOT AGREE","Tie-out failed",IF(J9="Not confirmed","Confirm tie-out",IF(H9&gt;0,"Ready - check screenshots","Ready for review")))))</f>
        <v>Confirm tie-out</v>
      </c>
      <c r="L9" s="8"/>
      <c r="M9" s="8"/>
    </row>
    <row r="10" customFormat="false" ht="15" hidden="false" customHeight="false" outlineLevel="0" collapsed="false">
      <c r="A10" s="7" t="s">
        <v>23</v>
      </c>
      <c r="B10" s="7" t="s">
        <v>24</v>
      </c>
      <c r="C10" s="7" t="s">
        <v>21</v>
      </c>
      <c r="D10" s="7" t="n">
        <f aca="false">COUNTIFS('4321 Lee Chen'!H:H,"W2",'4321 Lee Chen'!I:I,"INSTANCE")</f>
        <v>1</v>
      </c>
      <c r="E10" s="7" t="n">
        <f aca="false">COUNTIFS('4321 Lee Chen'!H:H,"W2",'4321 Lee Chen'!I:I,"FIELD")</f>
        <v>15</v>
      </c>
      <c r="F10" s="7" t="n">
        <f aca="false">COUNTIFS('4321 Lee Chen'!H:H,"W2",'4321 Lee Chen'!D:D,"MISMATCH")</f>
        <v>0</v>
      </c>
      <c r="G10" s="7" t="n">
        <f aca="false">COUNTIFS('4321 Lee Chen'!H:H,"W2",'4321 Lee Chen'!J:J,"Incomplete")</f>
        <v>0</v>
      </c>
      <c r="H10" s="7" t="n">
        <f aca="false">COUNTIFS('4321 Lee Chen'!H:H,"W2",'4321 Lee Chen'!D:D,"Not read back")</f>
        <v>1</v>
      </c>
      <c r="I10" s="7" t="n">
        <f aca="false">COUNTIFS(Corrections!B:B,A10,Corrections!C:C,"W2")</f>
        <v>9</v>
      </c>
      <c r="J10" s="7" t="s">
        <v>22</v>
      </c>
      <c r="K10" s="7" t="str">
        <f aca="false">IF(F10&gt;0,"Open mismatches",IF(G10&gt;0,"Incomplete entries",IF(J10="DID NOT AGREE","Tie-out failed",IF(J10="Not confirmed","Confirm tie-out",IF(H10&gt;0,"Ready - check screenshots","Ready for review")))))</f>
        <v>Confirm tie-out</v>
      </c>
      <c r="L10" s="8"/>
      <c r="M10" s="8"/>
    </row>
    <row r="11" customFormat="false" ht="15" hidden="false" customHeight="false" outlineLevel="0" collapsed="false">
      <c r="A11" s="7" t="s">
        <v>25</v>
      </c>
      <c r="B11" s="7" t="s">
        <v>26</v>
      </c>
      <c r="C11" s="7" t="s">
        <v>21</v>
      </c>
      <c r="D11" s="7" t="n">
        <f aca="false">COUNTIFS('2222 Kim Patel'!H:H,"W2",'2222 Kim Patel'!I:I,"INSTANCE")</f>
        <v>1</v>
      </c>
      <c r="E11" s="7" t="n">
        <f aca="false">COUNTIFS('2222 Kim Patel'!H:H,"W2",'2222 Kim Patel'!I:I,"FIELD")</f>
        <v>12</v>
      </c>
      <c r="F11" s="7" t="n">
        <f aca="false">COUNTIFS('2222 Kim Patel'!H:H,"W2",'2222 Kim Patel'!D:D,"MISMATCH")</f>
        <v>0</v>
      </c>
      <c r="G11" s="7" t="n">
        <f aca="false">COUNTIFS('2222 Kim Patel'!H:H,"W2",'2222 Kim Patel'!J:J,"Incomplete")</f>
        <v>0</v>
      </c>
      <c r="H11" s="7" t="n">
        <f aca="false">COUNTIFS('2222 Kim Patel'!H:H,"W2",'2222 Kim Patel'!D:D,"Not read back")</f>
        <v>1</v>
      </c>
      <c r="I11" s="7" t="n">
        <f aca="false">COUNTIFS(Corrections!B:B,A11,Corrections!C:C,"W2")</f>
        <v>0</v>
      </c>
      <c r="J11" s="7" t="s">
        <v>22</v>
      </c>
      <c r="K11" s="7" t="str">
        <f aca="false">IF(F11&gt;0,"Open mismatches",IF(G11&gt;0,"Incomplete entries",IF(J11="DID NOT AGREE","Tie-out failed",IF(J11="Not confirmed","Confirm tie-out",IF(H11&gt;0,"Ready - check screenshots","Ready for review")))))</f>
        <v>Confirm tie-out</v>
      </c>
      <c r="L11" s="8"/>
      <c r="M11" s="8"/>
    </row>
  </sheetData>
  <conditionalFormatting sqref="K9:K11">
    <cfRule type="expression" priority="2" aboveAverage="0" equalAverage="0" bottom="0" percent="0" rank="0" text="" dxfId="0">
      <formula>OR(K9="Open mismatches",K9="Incomplete entries",K9="Tie-out failed")</formula>
    </cfRule>
    <cfRule type="expression" priority="3" aboveAverage="0" equalAverage="0" bottom="0" percent="0" rank="0" text="" dxfId="1">
      <formula>LEFT(K9,5)="Ready"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&amp;LConfidential - contains taxpayer information&amp;RPage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1"/>
    <col collapsed="false" customWidth="true" hidden="false" outlineLevel="0" max="5" min="5" style="0" width="34"/>
    <col collapsed="false" customWidth="true" hidden="false" outlineLevel="0" max="6" min="6" style="0" width="40"/>
    <col collapsed="false" customWidth="true" hidden="false" outlineLevel="0" max="8" min="7" style="0" width="16"/>
    <col collapsed="false" customWidth="true" hidden="false" outlineLevel="0" max="9" min="9" style="0" width="30"/>
    <col collapsed="false" customWidth="true" hidden="false" outlineLevel="0" max="10" min="10" style="0" width="18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27</v>
      </c>
    </row>
    <row r="2" customFormat="false" ht="15" hidden="false" customHeight="false" outlineLevel="0" collapsed="false">
      <c r="A2" s="2" t="s">
        <v>28</v>
      </c>
    </row>
    <row r="4" customFormat="false" ht="23.85" hidden="false" customHeight="false" outlineLevel="0" collapsed="false">
      <c r="A4" s="6" t="s">
        <v>29</v>
      </c>
      <c r="B4" s="6" t="s">
        <v>6</v>
      </c>
      <c r="C4" s="6" t="s">
        <v>8</v>
      </c>
      <c r="D4" s="6" t="s">
        <v>30</v>
      </c>
      <c r="E4" s="6" t="s">
        <v>31</v>
      </c>
      <c r="F4" s="6" t="s">
        <v>32</v>
      </c>
      <c r="G4" s="6" t="s">
        <v>33</v>
      </c>
      <c r="H4" s="6" t="s">
        <v>34</v>
      </c>
      <c r="I4" s="6" t="s">
        <v>35</v>
      </c>
      <c r="J4" s="6" t="s">
        <v>36</v>
      </c>
      <c r="K4" s="6" t="s">
        <v>37</v>
      </c>
      <c r="L4" s="6" t="s">
        <v>38</v>
      </c>
    </row>
    <row r="5" customFormat="false" ht="15" hidden="false" customHeight="false" outlineLevel="0" collapsed="false">
      <c r="A5" s="7" t="s">
        <v>39</v>
      </c>
      <c r="B5" s="7" t="s">
        <v>19</v>
      </c>
      <c r="C5" s="7" t="s">
        <v>40</v>
      </c>
      <c r="D5" s="7"/>
      <c r="E5" s="7" t="s">
        <v>41</v>
      </c>
      <c r="F5" s="9" t="s">
        <v>42</v>
      </c>
      <c r="G5" s="7"/>
      <c r="H5" s="7"/>
      <c r="I5" s="7"/>
      <c r="J5" s="7"/>
      <c r="K5" s="10"/>
      <c r="L5" s="10"/>
    </row>
    <row r="6" customFormat="false" ht="15" hidden="false" customHeight="false" outlineLevel="0" collapsed="false">
      <c r="A6" s="7" t="s">
        <v>39</v>
      </c>
      <c r="B6" s="7" t="s">
        <v>23</v>
      </c>
      <c r="C6" s="7" t="s">
        <v>40</v>
      </c>
      <c r="D6" s="7"/>
      <c r="E6" s="7" t="s">
        <v>41</v>
      </c>
      <c r="F6" s="9" t="s">
        <v>42</v>
      </c>
      <c r="G6" s="7"/>
      <c r="H6" s="7"/>
      <c r="I6" s="7"/>
      <c r="J6" s="7"/>
      <c r="K6" s="10"/>
      <c r="L6" s="10"/>
    </row>
    <row r="7" customFormat="false" ht="15" hidden="false" customHeight="false" outlineLevel="0" collapsed="false">
      <c r="A7" s="7" t="s">
        <v>39</v>
      </c>
      <c r="B7" s="7" t="s">
        <v>25</v>
      </c>
      <c r="C7" s="7" t="s">
        <v>40</v>
      </c>
      <c r="D7" s="7"/>
      <c r="E7" s="7" t="s">
        <v>41</v>
      </c>
      <c r="F7" s="9" t="s">
        <v>42</v>
      </c>
      <c r="G7" s="7"/>
      <c r="H7" s="7"/>
      <c r="I7" s="7"/>
      <c r="J7" s="7"/>
      <c r="K7" s="10"/>
      <c r="L7" s="10"/>
    </row>
    <row r="8" customFormat="false" ht="15" hidden="false" customHeight="false" outlineLevel="0" collapsed="false">
      <c r="A8" s="7" t="s">
        <v>43</v>
      </c>
      <c r="B8" s="7" t="s">
        <v>19</v>
      </c>
      <c r="C8" s="7" t="s">
        <v>40</v>
      </c>
      <c r="D8" s="7" t="s">
        <v>44</v>
      </c>
      <c r="E8" s="7" t="s">
        <v>45</v>
      </c>
      <c r="F8" s="9" t="s">
        <v>46</v>
      </c>
      <c r="G8" s="7" t="s">
        <v>47</v>
      </c>
      <c r="H8" s="7" t="s">
        <v>47</v>
      </c>
      <c r="I8" s="7"/>
      <c r="J8" s="7" t="s">
        <v>48</v>
      </c>
      <c r="K8" s="10"/>
      <c r="L8" s="10"/>
    </row>
    <row r="9" customFormat="false" ht="15" hidden="false" customHeight="false" outlineLevel="0" collapsed="false">
      <c r="A9" s="7" t="s">
        <v>43</v>
      </c>
      <c r="B9" s="7" t="s">
        <v>19</v>
      </c>
      <c r="C9" s="7" t="s">
        <v>40</v>
      </c>
      <c r="D9" s="7" t="s">
        <v>44</v>
      </c>
      <c r="E9" s="7" t="s">
        <v>49</v>
      </c>
      <c r="F9" s="9" t="s">
        <v>46</v>
      </c>
      <c r="G9" s="7" t="s">
        <v>50</v>
      </c>
      <c r="H9" s="7" t="s">
        <v>50</v>
      </c>
      <c r="I9" s="7"/>
      <c r="J9" s="7" t="s">
        <v>48</v>
      </c>
      <c r="K9" s="10"/>
      <c r="L9" s="10"/>
    </row>
    <row r="10" customFormat="false" ht="15" hidden="false" customHeight="false" outlineLevel="0" collapsed="false">
      <c r="A10" s="7" t="s">
        <v>43</v>
      </c>
      <c r="B10" s="7" t="s">
        <v>19</v>
      </c>
      <c r="C10" s="7" t="s">
        <v>40</v>
      </c>
      <c r="D10" s="7" t="s">
        <v>51</v>
      </c>
      <c r="E10" s="7" t="s">
        <v>45</v>
      </c>
      <c r="F10" s="9" t="s">
        <v>46</v>
      </c>
      <c r="G10" s="7" t="s">
        <v>52</v>
      </c>
      <c r="H10" s="7" t="s">
        <v>52</v>
      </c>
      <c r="I10" s="7"/>
      <c r="J10" s="7" t="s">
        <v>48</v>
      </c>
      <c r="K10" s="10"/>
      <c r="L10" s="10"/>
    </row>
    <row r="11" customFormat="false" ht="15" hidden="false" customHeight="false" outlineLevel="0" collapsed="false">
      <c r="A11" s="7" t="s">
        <v>43</v>
      </c>
      <c r="B11" s="7" t="s">
        <v>23</v>
      </c>
      <c r="C11" s="7" t="s">
        <v>40</v>
      </c>
      <c r="D11" s="7" t="s">
        <v>44</v>
      </c>
      <c r="E11" s="7" t="s">
        <v>45</v>
      </c>
      <c r="F11" s="9" t="s">
        <v>46</v>
      </c>
      <c r="G11" s="7" t="s">
        <v>47</v>
      </c>
      <c r="H11" s="7" t="s">
        <v>47</v>
      </c>
      <c r="I11" s="7"/>
      <c r="J11" s="7" t="s">
        <v>53</v>
      </c>
      <c r="K11" s="10"/>
      <c r="L11" s="10"/>
    </row>
    <row r="12" customFormat="false" ht="15" hidden="false" customHeight="false" outlineLevel="0" collapsed="false">
      <c r="A12" s="7" t="s">
        <v>43</v>
      </c>
      <c r="B12" s="7" t="s">
        <v>25</v>
      </c>
      <c r="C12" s="7" t="s">
        <v>40</v>
      </c>
      <c r="D12" s="7" t="s">
        <v>44</v>
      </c>
      <c r="E12" s="7" t="s">
        <v>45</v>
      </c>
      <c r="F12" s="9" t="s">
        <v>46</v>
      </c>
      <c r="G12" s="7" t="s">
        <v>47</v>
      </c>
      <c r="H12" s="7" t="s">
        <v>47</v>
      </c>
      <c r="I12" s="7"/>
      <c r="J12" s="7" t="s">
        <v>54</v>
      </c>
      <c r="K12" s="10"/>
      <c r="L12" s="10"/>
    </row>
  </sheetData>
  <conditionalFormatting sqref="A5:A13">
    <cfRule type="cellIs" priority="2" operator="equal" aboveAverage="0" equalAverage="0" bottom="0" percent="0" rank="0" text="" dxfId="0">
      <formula>"High"</formula>
    </cfRule>
    <cfRule type="cellIs" priority="3" operator="equal" aboveAverage="0" equalAverage="0" bottom="0" percent="0" rank="0" text="" dxfId="2">
      <formula>"Medium"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&amp;LConfidential - contains taxpayer information&amp;RPage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1"/>
    <col collapsed="false" customWidth="true" hidden="false" outlineLevel="0" max="5" min="5" style="0" width="36"/>
    <col collapsed="false" customWidth="true" hidden="false" outlineLevel="0" max="8" min="6" style="0" width="18"/>
    <col collapsed="false" customWidth="true" hidden="false" outlineLevel="0" max="9" min="9" style="0" width="26"/>
    <col collapsed="false" customWidth="true" hidden="false" outlineLevel="0" max="10" min="10" style="0" width="16"/>
    <col collapsed="false" customWidth="true" hidden="false" outlineLevel="0" max="11" min="11" style="0" width="7"/>
    <col collapsed="false" customWidth="true" hidden="false" outlineLevel="0" max="12" min="12" style="0" width="16"/>
  </cols>
  <sheetData>
    <row r="1" customFormat="false" ht="17.35" hidden="false" customHeight="false" outlineLevel="0" collapsed="false">
      <c r="A1" s="1" t="s">
        <v>14</v>
      </c>
    </row>
    <row r="2" customFormat="false" ht="15" hidden="false" customHeight="false" outlineLevel="0" collapsed="false">
      <c r="A2" s="2" t="s">
        <v>55</v>
      </c>
    </row>
    <row r="4" customFormat="false" ht="15" hidden="false" customHeight="false" outlineLevel="0" collapsed="false">
      <c r="A4" s="6" t="s">
        <v>36</v>
      </c>
      <c r="B4" s="6" t="s">
        <v>6</v>
      </c>
      <c r="C4" s="6" t="s">
        <v>8</v>
      </c>
      <c r="D4" s="6" t="s">
        <v>56</v>
      </c>
      <c r="E4" s="6" t="s">
        <v>57</v>
      </c>
      <c r="F4" s="6" t="s">
        <v>58</v>
      </c>
      <c r="G4" s="6" t="s">
        <v>59</v>
      </c>
      <c r="H4" s="6" t="s">
        <v>60</v>
      </c>
      <c r="I4" s="6" t="s">
        <v>61</v>
      </c>
      <c r="J4" s="6" t="s">
        <v>62</v>
      </c>
      <c r="K4" s="6" t="s">
        <v>63</v>
      </c>
      <c r="L4" s="6" t="s">
        <v>64</v>
      </c>
    </row>
    <row r="5" customFormat="false" ht="15" hidden="false" customHeight="false" outlineLevel="0" collapsed="false">
      <c r="A5" s="7" t="s">
        <v>65</v>
      </c>
      <c r="B5" s="7" t="s">
        <v>23</v>
      </c>
      <c r="C5" s="7" t="s">
        <v>40</v>
      </c>
      <c r="D5" s="7" t="s">
        <v>66</v>
      </c>
      <c r="E5" s="7" t="s">
        <v>67</v>
      </c>
      <c r="F5" s="7" t="s">
        <v>68</v>
      </c>
      <c r="G5" s="7" t="s">
        <v>69</v>
      </c>
      <c r="H5" s="7" t="s">
        <v>69</v>
      </c>
      <c r="I5" s="7" t="s">
        <v>70</v>
      </c>
      <c r="J5" s="7" t="s">
        <v>71</v>
      </c>
      <c r="K5" s="7" t="s">
        <v>3</v>
      </c>
      <c r="L5" s="7" t="s">
        <v>72</v>
      </c>
    </row>
    <row r="6" customFormat="false" ht="15" hidden="false" customHeight="false" outlineLevel="0" collapsed="false">
      <c r="A6" s="7" t="s">
        <v>65</v>
      </c>
      <c r="B6" s="7" t="s">
        <v>23</v>
      </c>
      <c r="C6" s="7" t="s">
        <v>40</v>
      </c>
      <c r="D6" s="7" t="s">
        <v>66</v>
      </c>
      <c r="E6" s="7" t="s">
        <v>73</v>
      </c>
      <c r="F6" s="7"/>
      <c r="G6" s="7" t="s">
        <v>74</v>
      </c>
      <c r="H6" s="7" t="s">
        <v>74</v>
      </c>
      <c r="I6" s="7" t="s">
        <v>70</v>
      </c>
      <c r="J6" s="7" t="s">
        <v>71</v>
      </c>
      <c r="K6" s="7" t="s">
        <v>3</v>
      </c>
      <c r="L6" s="7" t="s">
        <v>72</v>
      </c>
    </row>
    <row r="7" customFormat="false" ht="15" hidden="false" customHeight="false" outlineLevel="0" collapsed="false">
      <c r="A7" s="7" t="s">
        <v>65</v>
      </c>
      <c r="B7" s="7" t="s">
        <v>23</v>
      </c>
      <c r="C7" s="7" t="s">
        <v>40</v>
      </c>
      <c r="D7" s="7" t="s">
        <v>66</v>
      </c>
      <c r="E7" s="7" t="s">
        <v>75</v>
      </c>
      <c r="F7" s="7"/>
      <c r="G7" s="7" t="s">
        <v>76</v>
      </c>
      <c r="H7" s="7" t="s">
        <v>76</v>
      </c>
      <c r="I7" s="7" t="s">
        <v>70</v>
      </c>
      <c r="J7" s="7" t="s">
        <v>71</v>
      </c>
      <c r="K7" s="7" t="s">
        <v>3</v>
      </c>
      <c r="L7" s="7" t="s">
        <v>72</v>
      </c>
    </row>
    <row r="8" customFormat="false" ht="15" hidden="false" customHeight="false" outlineLevel="0" collapsed="false">
      <c r="A8" s="7" t="s">
        <v>65</v>
      </c>
      <c r="B8" s="7" t="s">
        <v>23</v>
      </c>
      <c r="C8" s="7" t="s">
        <v>40</v>
      </c>
      <c r="D8" s="7" t="s">
        <v>66</v>
      </c>
      <c r="E8" s="7" t="s">
        <v>77</v>
      </c>
      <c r="F8" s="7"/>
      <c r="G8" s="7" t="s">
        <v>74</v>
      </c>
      <c r="H8" s="7" t="s">
        <v>74</v>
      </c>
      <c r="I8" s="7" t="s">
        <v>70</v>
      </c>
      <c r="J8" s="7" t="s">
        <v>71</v>
      </c>
      <c r="K8" s="7" t="s">
        <v>3</v>
      </c>
      <c r="L8" s="7" t="s">
        <v>72</v>
      </c>
    </row>
    <row r="9" customFormat="false" ht="15" hidden="false" customHeight="false" outlineLevel="0" collapsed="false">
      <c r="A9" s="7" t="s">
        <v>65</v>
      </c>
      <c r="B9" s="7" t="s">
        <v>23</v>
      </c>
      <c r="C9" s="7" t="s">
        <v>40</v>
      </c>
      <c r="D9" s="7" t="s">
        <v>66</v>
      </c>
      <c r="E9" s="7" t="s">
        <v>78</v>
      </c>
      <c r="F9" s="7"/>
      <c r="G9" s="7" t="s">
        <v>79</v>
      </c>
      <c r="H9" s="7" t="s">
        <v>79</v>
      </c>
      <c r="I9" s="7" t="s">
        <v>70</v>
      </c>
      <c r="J9" s="7" t="s">
        <v>71</v>
      </c>
      <c r="K9" s="7" t="s">
        <v>3</v>
      </c>
      <c r="L9" s="7" t="s">
        <v>72</v>
      </c>
    </row>
    <row r="10" customFormat="false" ht="15" hidden="false" customHeight="false" outlineLevel="0" collapsed="false">
      <c r="A10" s="7" t="s">
        <v>65</v>
      </c>
      <c r="B10" s="7" t="s">
        <v>23</v>
      </c>
      <c r="C10" s="7" t="s">
        <v>40</v>
      </c>
      <c r="D10" s="7" t="s">
        <v>66</v>
      </c>
      <c r="E10" s="7" t="s">
        <v>80</v>
      </c>
      <c r="F10" s="7"/>
      <c r="G10" s="7" t="s">
        <v>81</v>
      </c>
      <c r="H10" s="7" t="s">
        <v>81</v>
      </c>
      <c r="I10" s="7" t="s">
        <v>70</v>
      </c>
      <c r="J10" s="7" t="s">
        <v>71</v>
      </c>
      <c r="K10" s="7" t="s">
        <v>3</v>
      </c>
      <c r="L10" s="7" t="s">
        <v>72</v>
      </c>
    </row>
    <row r="11" customFormat="false" ht="15" hidden="false" customHeight="false" outlineLevel="0" collapsed="false">
      <c r="A11" s="7" t="s">
        <v>65</v>
      </c>
      <c r="B11" s="7" t="s">
        <v>23</v>
      </c>
      <c r="C11" s="7" t="s">
        <v>40</v>
      </c>
      <c r="D11" s="7" t="s">
        <v>66</v>
      </c>
      <c r="E11" s="7" t="s">
        <v>82</v>
      </c>
      <c r="F11" s="7"/>
      <c r="G11" s="7" t="s">
        <v>74</v>
      </c>
      <c r="H11" s="7" t="s">
        <v>74</v>
      </c>
      <c r="I11" s="7" t="s">
        <v>70</v>
      </c>
      <c r="J11" s="7" t="s">
        <v>71</v>
      </c>
      <c r="K11" s="7" t="s">
        <v>3</v>
      </c>
      <c r="L11" s="7" t="s">
        <v>72</v>
      </c>
    </row>
    <row r="12" customFormat="false" ht="15" hidden="false" customHeight="false" outlineLevel="0" collapsed="false">
      <c r="A12" s="7" t="s">
        <v>65</v>
      </c>
      <c r="B12" s="7" t="s">
        <v>23</v>
      </c>
      <c r="C12" s="7" t="s">
        <v>40</v>
      </c>
      <c r="D12" s="7" t="s">
        <v>66</v>
      </c>
      <c r="E12" s="7" t="s">
        <v>83</v>
      </c>
      <c r="F12" s="7"/>
      <c r="G12" s="7" t="s">
        <v>84</v>
      </c>
      <c r="H12" s="7" t="s">
        <v>84</v>
      </c>
      <c r="I12" s="7" t="s">
        <v>70</v>
      </c>
      <c r="J12" s="7" t="s">
        <v>71</v>
      </c>
      <c r="K12" s="7" t="s">
        <v>3</v>
      </c>
      <c r="L12" s="7" t="s">
        <v>72</v>
      </c>
    </row>
    <row r="13" customFormat="false" ht="15" hidden="false" customHeight="false" outlineLevel="0" collapsed="false">
      <c r="A13" s="7" t="s">
        <v>85</v>
      </c>
      <c r="B13" s="7" t="s">
        <v>23</v>
      </c>
      <c r="C13" s="7" t="s">
        <v>40</v>
      </c>
      <c r="D13" s="7" t="s">
        <v>66</v>
      </c>
      <c r="E13" s="7" t="s">
        <v>86</v>
      </c>
      <c r="F13" s="7" t="s">
        <v>87</v>
      </c>
      <c r="G13" s="7" t="s">
        <v>88</v>
      </c>
      <c r="H13" s="7" t="s">
        <v>89</v>
      </c>
      <c r="I13" s="7" t="s">
        <v>70</v>
      </c>
      <c r="J13" s="7" t="s">
        <v>71</v>
      </c>
      <c r="K13" s="7" t="s">
        <v>3</v>
      </c>
      <c r="L13" s="7" t="s">
        <v>90</v>
      </c>
    </row>
  </sheetData>
  <conditionalFormatting sqref="J5:J14">
    <cfRule type="cellIs" priority="2" operator="equal" aboveAverage="0" equalAverage="0" bottom="0" percent="0" rank="0" text="" dxfId="0">
      <formula>"FAILED"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&amp;LConfidential - contains taxpayer information&amp;RPage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34"/>
    <col collapsed="false" customWidth="true" hidden="false" outlineLevel="0" max="5" min="5" style="0" width="16"/>
    <col collapsed="false" customWidth="true" hidden="false" outlineLevel="0" max="6" min="6" style="0" width="26"/>
    <col collapsed="false" customWidth="true" hidden="false" outlineLevel="0" max="8" min="7" style="0" width="12"/>
    <col collapsed="false" customWidth="true" hidden="false" outlineLevel="0" max="9" min="9" style="0" width="18"/>
  </cols>
  <sheetData>
    <row r="1" customFormat="false" ht="17.35" hidden="false" customHeight="false" outlineLevel="0" collapsed="false">
      <c r="A1" s="1" t="s">
        <v>15</v>
      </c>
    </row>
    <row r="2" customFormat="false" ht="15" hidden="false" customHeight="false" outlineLevel="0" collapsed="false">
      <c r="A2" s="2" t="s">
        <v>91</v>
      </c>
    </row>
    <row r="4" customFormat="false" ht="23.85" hidden="false" customHeight="false" outlineLevel="0" collapsed="false">
      <c r="A4" s="6" t="s">
        <v>6</v>
      </c>
      <c r="B4" s="6" t="s">
        <v>7</v>
      </c>
      <c r="C4" s="6" t="s">
        <v>8</v>
      </c>
      <c r="D4" s="6" t="s">
        <v>92</v>
      </c>
      <c r="E4" s="6" t="s">
        <v>93</v>
      </c>
      <c r="F4" s="6" t="s">
        <v>94</v>
      </c>
      <c r="G4" s="6" t="s">
        <v>95</v>
      </c>
      <c r="H4" s="6" t="s">
        <v>96</v>
      </c>
      <c r="I4" s="6" t="s">
        <v>36</v>
      </c>
    </row>
    <row r="5" customFormat="false" ht="15" hidden="false" customHeight="false" outlineLevel="0" collapsed="false">
      <c r="A5" s="7" t="s">
        <v>19</v>
      </c>
      <c r="B5" s="7" t="s">
        <v>20</v>
      </c>
      <c r="C5" s="7" t="s">
        <v>40</v>
      </c>
      <c r="D5" s="7" t="s">
        <v>97</v>
      </c>
      <c r="E5" s="11" t="n">
        <v>90500</v>
      </c>
      <c r="F5" s="7" t="s">
        <v>98</v>
      </c>
      <c r="G5" s="7" t="s">
        <v>99</v>
      </c>
      <c r="H5" s="7" t="s">
        <v>3</v>
      </c>
      <c r="I5" s="7" t="s">
        <v>48</v>
      </c>
    </row>
    <row r="6" customFormat="false" ht="15" hidden="false" customHeight="false" outlineLevel="0" collapsed="false">
      <c r="A6" s="7" t="s">
        <v>19</v>
      </c>
      <c r="B6" s="7" t="s">
        <v>20</v>
      </c>
      <c r="C6" s="7" t="s">
        <v>40</v>
      </c>
      <c r="D6" s="7" t="s">
        <v>100</v>
      </c>
      <c r="E6" s="11" t="n">
        <v>7700</v>
      </c>
      <c r="F6" s="7" t="s">
        <v>101</v>
      </c>
      <c r="G6" s="7" t="s">
        <v>99</v>
      </c>
      <c r="H6" s="7" t="s">
        <v>3</v>
      </c>
      <c r="I6" s="7" t="s">
        <v>48</v>
      </c>
    </row>
    <row r="7" customFormat="false" ht="15" hidden="false" customHeight="false" outlineLevel="0" collapsed="false">
      <c r="A7" s="7" t="s">
        <v>19</v>
      </c>
      <c r="B7" s="7" t="s">
        <v>20</v>
      </c>
      <c r="C7" s="7" t="s">
        <v>40</v>
      </c>
      <c r="D7" s="7" t="s">
        <v>102</v>
      </c>
      <c r="E7" s="11" t="n">
        <v>52000</v>
      </c>
      <c r="F7" s="7" t="s">
        <v>103</v>
      </c>
      <c r="G7" s="7" t="s">
        <v>99</v>
      </c>
      <c r="H7" s="7" t="s">
        <v>3</v>
      </c>
      <c r="I7" s="7" t="s">
        <v>48</v>
      </c>
    </row>
    <row r="8" customFormat="false" ht="15" hidden="false" customHeight="false" outlineLevel="0" collapsed="false">
      <c r="A8" s="7" t="s">
        <v>19</v>
      </c>
      <c r="B8" s="7" t="s">
        <v>20</v>
      </c>
      <c r="C8" s="7" t="s">
        <v>40</v>
      </c>
      <c r="D8" s="7" t="s">
        <v>104</v>
      </c>
      <c r="E8" s="11" t="n">
        <v>38500</v>
      </c>
      <c r="F8" s="7" t="s">
        <v>103</v>
      </c>
      <c r="G8" s="7" t="s">
        <v>99</v>
      </c>
      <c r="H8" s="7" t="s">
        <v>3</v>
      </c>
      <c r="I8" s="7" t="s">
        <v>48</v>
      </c>
    </row>
    <row r="9" customFormat="false" ht="15" hidden="false" customHeight="false" outlineLevel="0" collapsed="false">
      <c r="A9" s="7" t="s">
        <v>19</v>
      </c>
      <c r="B9" s="7" t="s">
        <v>20</v>
      </c>
      <c r="C9" s="7" t="s">
        <v>40</v>
      </c>
      <c r="D9" s="7" t="s">
        <v>105</v>
      </c>
      <c r="E9" s="11" t="n">
        <v>3982</v>
      </c>
      <c r="F9" s="7" t="s">
        <v>106</v>
      </c>
      <c r="G9" s="7" t="s">
        <v>99</v>
      </c>
      <c r="H9" s="7" t="s">
        <v>3</v>
      </c>
      <c r="I9" s="7" t="s">
        <v>48</v>
      </c>
    </row>
    <row r="10" customFormat="false" ht="15" hidden="false" customHeight="false" outlineLevel="0" collapsed="false">
      <c r="A10" s="7" t="s">
        <v>23</v>
      </c>
      <c r="B10" s="7" t="s">
        <v>24</v>
      </c>
      <c r="C10" s="7" t="s">
        <v>40</v>
      </c>
      <c r="D10" s="7" t="s">
        <v>97</v>
      </c>
      <c r="E10" s="11" t="n">
        <v>61000</v>
      </c>
      <c r="F10" s="7" t="s">
        <v>98</v>
      </c>
      <c r="G10" s="7" t="s">
        <v>99</v>
      </c>
      <c r="H10" s="7" t="s">
        <v>3</v>
      </c>
      <c r="I10" s="7" t="s">
        <v>53</v>
      </c>
    </row>
    <row r="11" customFormat="false" ht="15" hidden="false" customHeight="false" outlineLevel="0" collapsed="false">
      <c r="A11" s="7" t="s">
        <v>23</v>
      </c>
      <c r="B11" s="7" t="s">
        <v>24</v>
      </c>
      <c r="C11" s="7" t="s">
        <v>40</v>
      </c>
      <c r="D11" s="7" t="s">
        <v>100</v>
      </c>
      <c r="E11" s="11" t="n">
        <v>6100</v>
      </c>
      <c r="F11" s="7" t="s">
        <v>101</v>
      </c>
      <c r="G11" s="7" t="s">
        <v>99</v>
      </c>
      <c r="H11" s="7" t="s">
        <v>3</v>
      </c>
      <c r="I11" s="7" t="s">
        <v>53</v>
      </c>
    </row>
    <row r="12" customFormat="false" ht="15" hidden="false" customHeight="false" outlineLevel="0" collapsed="false">
      <c r="A12" s="7" t="s">
        <v>23</v>
      </c>
      <c r="B12" s="7" t="s">
        <v>24</v>
      </c>
      <c r="C12" s="7" t="s">
        <v>40</v>
      </c>
      <c r="D12" s="7" t="s">
        <v>105</v>
      </c>
      <c r="E12" s="11" t="n">
        <v>2684</v>
      </c>
      <c r="F12" s="7" t="s">
        <v>106</v>
      </c>
      <c r="G12" s="7" t="s">
        <v>99</v>
      </c>
      <c r="H12" s="7" t="s">
        <v>3</v>
      </c>
      <c r="I12" s="7" t="s">
        <v>53</v>
      </c>
    </row>
    <row r="13" customFormat="false" ht="15" hidden="false" customHeight="false" outlineLevel="0" collapsed="false">
      <c r="A13" s="7" t="s">
        <v>25</v>
      </c>
      <c r="B13" s="7" t="s">
        <v>26</v>
      </c>
      <c r="C13" s="7" t="s">
        <v>40</v>
      </c>
      <c r="D13" s="7" t="s">
        <v>97</v>
      </c>
      <c r="E13" s="11" t="n">
        <v>47000</v>
      </c>
      <c r="F13" s="7" t="s">
        <v>98</v>
      </c>
      <c r="G13" s="7" t="s">
        <v>99</v>
      </c>
      <c r="H13" s="7" t="s">
        <v>3</v>
      </c>
      <c r="I13" s="7" t="s">
        <v>54</v>
      </c>
    </row>
    <row r="14" customFormat="false" ht="15" hidden="false" customHeight="false" outlineLevel="0" collapsed="false">
      <c r="A14" s="7" t="s">
        <v>25</v>
      </c>
      <c r="B14" s="7" t="s">
        <v>26</v>
      </c>
      <c r="C14" s="7" t="s">
        <v>40</v>
      </c>
      <c r="D14" s="7" t="s">
        <v>100</v>
      </c>
      <c r="E14" s="11" t="n">
        <v>3900</v>
      </c>
      <c r="F14" s="7" t="s">
        <v>101</v>
      </c>
      <c r="G14" s="7" t="s">
        <v>99</v>
      </c>
      <c r="H14" s="7" t="s">
        <v>3</v>
      </c>
      <c r="I14" s="7" t="s">
        <v>54</v>
      </c>
    </row>
  </sheetData>
  <conditionalFormatting sqref="G5:G15">
    <cfRule type="cellIs" priority="2" operator="equal" aboveAverage="0" equalAverage="0" bottom="0" percent="0" rank="0" text="" dxfId="0">
      <formula>"No"</formula>
    </cfRule>
    <cfRule type="cellIs" priority="3" operator="equal" aboveAverage="0" equalAverage="0" bottom="0" percent="0" rank="0" text="" dxfId="1">
      <formula>"Yes"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&amp;LConfidential - contains taxpayer information&amp;RPage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4" min="3" style="0" width="18"/>
    <col collapsed="false" customWidth="true" hidden="false" outlineLevel="0" max="5" min="5" style="0" width="12"/>
    <col collapsed="false" customWidth="true" hidden="false" outlineLevel="0" max="6" min="6" style="0" width="36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30"/>
    <col collapsed="false" customWidth="true" hidden="false" outlineLevel="0" max="11" min="11" style="0" width="24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1" t="s">
        <v>107</v>
      </c>
    </row>
    <row r="2" customFormat="false" ht="15" hidden="false" customHeight="false" outlineLevel="0" collapsed="false">
      <c r="A2" s="2" t="s">
        <v>108</v>
      </c>
    </row>
    <row r="4" customFormat="false" ht="23.85" hidden="false" customHeight="false" outlineLevel="0" collapsed="false">
      <c r="A4" s="6" t="s">
        <v>64</v>
      </c>
      <c r="B4" s="6" t="s">
        <v>109</v>
      </c>
      <c r="C4" s="6" t="s">
        <v>110</v>
      </c>
      <c r="D4" s="6" t="s">
        <v>111</v>
      </c>
      <c r="E4" s="6" t="s">
        <v>16</v>
      </c>
      <c r="F4" s="6" t="s">
        <v>112</v>
      </c>
      <c r="G4" s="6" t="s">
        <v>113</v>
      </c>
      <c r="H4" s="6" t="s">
        <v>114</v>
      </c>
      <c r="I4" s="6" t="s">
        <v>115</v>
      </c>
      <c r="J4" s="6" t="s">
        <v>116</v>
      </c>
      <c r="K4" s="6" t="s">
        <v>117</v>
      </c>
      <c r="L4" s="6" t="s">
        <v>118</v>
      </c>
    </row>
    <row r="5" customFormat="false" ht="15" hidden="false" customHeight="false" outlineLevel="0" collapsed="false">
      <c r="A5" s="7" t="s">
        <v>119</v>
      </c>
      <c r="B5" s="7" t="s">
        <v>120</v>
      </c>
      <c r="C5" s="7" t="s">
        <v>48</v>
      </c>
      <c r="D5" s="7" t="s">
        <v>48</v>
      </c>
      <c r="E5" s="7" t="s">
        <v>121</v>
      </c>
      <c r="F5" s="7" t="s">
        <v>122</v>
      </c>
      <c r="G5" s="7" t="s">
        <v>3</v>
      </c>
      <c r="H5" s="7" t="s">
        <v>123</v>
      </c>
      <c r="I5" s="7" t="s">
        <v>124</v>
      </c>
      <c r="J5" s="7" t="s">
        <v>125</v>
      </c>
      <c r="K5" s="7" t="s">
        <v>126</v>
      </c>
      <c r="L5" s="7" t="s">
        <v>127</v>
      </c>
    </row>
    <row r="6" customFormat="false" ht="15" hidden="false" customHeight="false" outlineLevel="0" collapsed="false">
      <c r="A6" s="7" t="s">
        <v>128</v>
      </c>
      <c r="B6" s="7" t="s">
        <v>120</v>
      </c>
      <c r="C6" s="7" t="s">
        <v>129</v>
      </c>
      <c r="D6" s="7" t="s">
        <v>129</v>
      </c>
      <c r="E6" s="7" t="s">
        <v>130</v>
      </c>
      <c r="F6" s="7"/>
      <c r="G6" s="7" t="s">
        <v>3</v>
      </c>
      <c r="H6" s="7" t="s">
        <v>123</v>
      </c>
      <c r="I6" s="7" t="s">
        <v>124</v>
      </c>
      <c r="J6" s="7" t="s">
        <v>125</v>
      </c>
      <c r="K6" s="7" t="s">
        <v>126</v>
      </c>
      <c r="L6" s="7" t="s">
        <v>127</v>
      </c>
    </row>
    <row r="7" customFormat="false" ht="15" hidden="false" customHeight="false" outlineLevel="0" collapsed="false">
      <c r="A7" s="7" t="s">
        <v>131</v>
      </c>
      <c r="B7" s="7" t="s">
        <v>132</v>
      </c>
      <c r="C7" s="7" t="s">
        <v>133</v>
      </c>
      <c r="D7" s="7" t="s">
        <v>133</v>
      </c>
      <c r="E7" s="7" t="s">
        <v>130</v>
      </c>
      <c r="F7" s="7" t="s">
        <v>134</v>
      </c>
      <c r="G7" s="7" t="s">
        <v>3</v>
      </c>
      <c r="H7" s="7" t="s">
        <v>123</v>
      </c>
      <c r="I7" s="7" t="s">
        <v>124</v>
      </c>
      <c r="J7" s="7" t="s">
        <v>125</v>
      </c>
      <c r="K7" s="7" t="s">
        <v>126</v>
      </c>
      <c r="L7" s="7" t="s">
        <v>127</v>
      </c>
    </row>
    <row r="8" customFormat="false" ht="15" hidden="false" customHeight="false" outlineLevel="0" collapsed="false">
      <c r="A8" s="7" t="s">
        <v>72</v>
      </c>
      <c r="B8" s="7" t="s">
        <v>132</v>
      </c>
      <c r="C8" s="7" t="s">
        <v>65</v>
      </c>
      <c r="D8" s="7" t="s">
        <v>65</v>
      </c>
      <c r="E8" s="7" t="s">
        <v>130</v>
      </c>
      <c r="F8" s="7" t="s">
        <v>135</v>
      </c>
      <c r="G8" s="7" t="s">
        <v>3</v>
      </c>
      <c r="H8" s="7" t="s">
        <v>123</v>
      </c>
      <c r="I8" s="7" t="s">
        <v>124</v>
      </c>
      <c r="J8" s="7" t="s">
        <v>125</v>
      </c>
      <c r="K8" s="7" t="s">
        <v>126</v>
      </c>
      <c r="L8" s="7" t="s">
        <v>127</v>
      </c>
    </row>
    <row r="9" customFormat="false" ht="15" hidden="false" customHeight="false" outlineLevel="0" collapsed="false">
      <c r="A9" s="7" t="s">
        <v>136</v>
      </c>
      <c r="B9" s="7" t="s">
        <v>120</v>
      </c>
      <c r="C9" s="7" t="s">
        <v>54</v>
      </c>
      <c r="D9" s="7" t="s">
        <v>54</v>
      </c>
      <c r="E9" s="7" t="s">
        <v>130</v>
      </c>
      <c r="F9" s="7" t="s">
        <v>137</v>
      </c>
      <c r="G9" s="7" t="s">
        <v>3</v>
      </c>
      <c r="H9" s="7" t="s">
        <v>123</v>
      </c>
      <c r="I9" s="7" t="s">
        <v>124</v>
      </c>
      <c r="J9" s="7" t="s">
        <v>125</v>
      </c>
      <c r="K9" s="7" t="s">
        <v>138</v>
      </c>
      <c r="L9" s="7" t="s">
        <v>127</v>
      </c>
    </row>
    <row r="10" customFormat="false" ht="15" hidden="false" customHeight="false" outlineLevel="0" collapsed="false">
      <c r="A10" s="7" t="s">
        <v>90</v>
      </c>
      <c r="B10" s="7" t="s">
        <v>139</v>
      </c>
      <c r="C10" s="7" t="s">
        <v>85</v>
      </c>
      <c r="D10" s="7" t="s">
        <v>85</v>
      </c>
      <c r="E10" s="7" t="s">
        <v>130</v>
      </c>
      <c r="F10" s="7" t="s">
        <v>140</v>
      </c>
      <c r="G10" s="7" t="s">
        <v>3</v>
      </c>
      <c r="H10" s="7" t="s">
        <v>123</v>
      </c>
      <c r="I10" s="7" t="s">
        <v>124</v>
      </c>
      <c r="J10" s="7" t="s">
        <v>125</v>
      </c>
      <c r="K10" s="7" t="s">
        <v>141</v>
      </c>
      <c r="L10" s="7" t="s">
        <v>127</v>
      </c>
    </row>
    <row r="11" customFormat="false" ht="15" hidden="false" customHeight="false" outlineLevel="0" collapsed="false">
      <c r="A11" s="7" t="s">
        <v>142</v>
      </c>
      <c r="B11" s="7" t="s">
        <v>132</v>
      </c>
      <c r="C11" s="7" t="s">
        <v>53</v>
      </c>
      <c r="D11" s="7" t="s">
        <v>53</v>
      </c>
      <c r="E11" s="7" t="s">
        <v>130</v>
      </c>
      <c r="F11" s="7" t="s">
        <v>135</v>
      </c>
      <c r="G11" s="7" t="s">
        <v>3</v>
      </c>
      <c r="H11" s="7" t="s">
        <v>123</v>
      </c>
      <c r="I11" s="7" t="s">
        <v>124</v>
      </c>
      <c r="J11" s="7" t="s">
        <v>125</v>
      </c>
      <c r="K11" s="7" t="s">
        <v>141</v>
      </c>
      <c r="L11" s="7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&amp;LConfidential - contains taxpayer information&amp;RPage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143</v>
      </c>
    </row>
    <row r="2" customFormat="false" ht="15" hidden="false" customHeight="false" outlineLevel="0" collapsed="false">
      <c r="A2" s="2" t="s">
        <v>144</v>
      </c>
    </row>
    <row r="4" customFormat="false" ht="15" hidden="false" customHeight="false" outlineLevel="0" collapsed="false">
      <c r="A4" s="3" t="s">
        <v>145</v>
      </c>
      <c r="B4" s="4" t="s">
        <v>146</v>
      </c>
    </row>
    <row r="5" customFormat="false" ht="15" hidden="false" customHeight="false" outlineLevel="0" collapsed="false">
      <c r="A5" s="3" t="s">
        <v>147</v>
      </c>
      <c r="B5" s="12" t="s">
        <v>148</v>
      </c>
    </row>
    <row r="6" customFormat="false" ht="15" hidden="false" customHeight="false" outlineLevel="0" collapsed="false">
      <c r="A6" s="3" t="s">
        <v>149</v>
      </c>
      <c r="B6" s="4" t="n">
        <v>408</v>
      </c>
    </row>
    <row r="7" customFormat="false" ht="15" hidden="false" customHeight="false" outlineLevel="0" collapsed="false">
      <c r="A7" s="3" t="s">
        <v>150</v>
      </c>
      <c r="B7" s="4" t="s">
        <v>48</v>
      </c>
    </row>
    <row r="8" customFormat="false" ht="15" hidden="false" customHeight="false" outlineLevel="0" collapsed="false">
      <c r="A8" s="3" t="s">
        <v>151</v>
      </c>
      <c r="B8" s="4" t="s">
        <v>53</v>
      </c>
    </row>
    <row r="9" customFormat="false" ht="15" hidden="false" customHeight="false" outlineLevel="0" collapsed="false">
      <c r="A9" s="3" t="s">
        <v>152</v>
      </c>
      <c r="B9" s="4" t="s">
        <v>153</v>
      </c>
    </row>
    <row r="10" customFormat="false" ht="15" hidden="false" customHeight="false" outlineLevel="0" collapsed="false">
      <c r="A10" s="3" t="s">
        <v>154</v>
      </c>
      <c r="B10" s="4" t="s">
        <v>155</v>
      </c>
    </row>
    <row r="11" customFormat="false" ht="15" hidden="false" customHeight="false" outlineLevel="0" collapsed="false">
      <c r="A11" s="3" t="s">
        <v>156</v>
      </c>
      <c r="B11" s="4" t="s">
        <v>157</v>
      </c>
    </row>
    <row r="12" customFormat="false" ht="15" hidden="false" customHeight="false" outlineLevel="0" collapsed="false">
      <c r="A12" s="3" t="s">
        <v>158</v>
      </c>
      <c r="B12" s="4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&amp;LConfidential - contains taxpayer information&amp;RPage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2"/>
    <col collapsed="false" customWidth="true" hidden="false" outlineLevel="0" max="4" min="4" style="0" width="15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7" min="7" style="0" width="44"/>
    <col collapsed="false" customWidth="true" hidden="true" outlineLevel="0" max="8" min="8" style="0" width="6"/>
    <col collapsed="false" customWidth="true" hidden="true" outlineLevel="0" max="9" min="9" style="0" width="9"/>
    <col collapsed="false" customWidth="true" hidden="true" outlineLevel="0" max="10" min="10" style="0" width="20"/>
  </cols>
  <sheetData>
    <row r="1" customFormat="false" ht="17.35" hidden="false" customHeight="false" outlineLevel="0" collapsed="false">
      <c r="A1" s="1" t="s">
        <v>160</v>
      </c>
    </row>
    <row r="2" customFormat="false" ht="15" hidden="false" customHeight="false" outlineLevel="0" collapsed="false">
      <c r="A2" s="2" t="s">
        <v>161</v>
      </c>
    </row>
    <row r="4" customFormat="false" ht="21.75" hidden="false" customHeight="true" outlineLevel="0" collapsed="false">
      <c r="A4" s="13" t="s">
        <v>162</v>
      </c>
      <c r="B4" s="13"/>
      <c r="C4" s="13"/>
      <c r="D4" s="13"/>
      <c r="E4" s="13"/>
      <c r="F4" s="13"/>
      <c r="G4" s="13"/>
    </row>
    <row r="6" customFormat="false" ht="15" hidden="false" customHeight="false" outlineLevel="0" collapsed="false">
      <c r="A6" s="14" t="s">
        <v>163</v>
      </c>
      <c r="B6" s="14"/>
      <c r="C6" s="14"/>
      <c r="D6" s="14"/>
      <c r="E6" s="14"/>
      <c r="F6" s="14"/>
      <c r="G6" s="14"/>
      <c r="H6" s="15" t="s">
        <v>40</v>
      </c>
      <c r="I6" s="15" t="s">
        <v>164</v>
      </c>
      <c r="J6" s="15" t="s">
        <v>165</v>
      </c>
    </row>
    <row r="7" customFormat="false" ht="15" hidden="false" customHeight="false" outlineLevel="0" collapsed="false">
      <c r="A7" s="16" t="s">
        <v>166</v>
      </c>
    </row>
    <row r="8" customFormat="false" ht="15" hidden="false" customHeight="false" outlineLevel="0" collapsed="false">
      <c r="A8" s="17" t="s">
        <v>167</v>
      </c>
      <c r="B8" s="17" t="s">
        <v>168</v>
      </c>
      <c r="C8" s="17" t="s">
        <v>169</v>
      </c>
      <c r="D8" s="17" t="s">
        <v>170</v>
      </c>
      <c r="E8" s="17" t="s">
        <v>171</v>
      </c>
      <c r="F8" s="17" t="s">
        <v>17</v>
      </c>
      <c r="G8" s="17" t="s">
        <v>172</v>
      </c>
    </row>
    <row r="9" customFormat="false" ht="15" hidden="false" customHeight="false" outlineLevel="0" collapsed="false">
      <c r="A9" s="18" t="s">
        <v>45</v>
      </c>
      <c r="B9" s="19" t="s">
        <v>47</v>
      </c>
      <c r="C9" s="19" t="s">
        <v>47</v>
      </c>
      <c r="D9" s="18" t="s">
        <v>173</v>
      </c>
      <c r="E9" s="18" t="s">
        <v>174</v>
      </c>
      <c r="F9" s="20"/>
      <c r="G9" s="21" t="s">
        <v>175</v>
      </c>
      <c r="H9" s="15" t="s">
        <v>40</v>
      </c>
      <c r="I9" s="15" t="s">
        <v>176</v>
      </c>
    </row>
    <row r="10" customFormat="false" ht="15" hidden="false" customHeight="false" outlineLevel="0" collapsed="false">
      <c r="A10" s="18" t="s">
        <v>86</v>
      </c>
      <c r="B10" s="19" t="s">
        <v>177</v>
      </c>
      <c r="C10" s="19" t="s">
        <v>178</v>
      </c>
      <c r="D10" s="18" t="s">
        <v>179</v>
      </c>
      <c r="E10" s="18" t="s">
        <v>174</v>
      </c>
      <c r="F10" s="20"/>
      <c r="G10" s="21"/>
      <c r="H10" s="15" t="s">
        <v>40</v>
      </c>
      <c r="I10" s="15" t="s">
        <v>176</v>
      </c>
    </row>
    <row r="11" customFormat="false" ht="15" hidden="false" customHeight="false" outlineLevel="0" collapsed="false">
      <c r="A11" s="18" t="s">
        <v>180</v>
      </c>
      <c r="B11" s="19" t="s">
        <v>181</v>
      </c>
      <c r="C11" s="19" t="s">
        <v>181</v>
      </c>
      <c r="D11" s="18" t="s">
        <v>179</v>
      </c>
      <c r="E11" s="18" t="s">
        <v>174</v>
      </c>
      <c r="F11" s="20"/>
      <c r="G11" s="21"/>
      <c r="H11" s="15" t="s">
        <v>40</v>
      </c>
      <c r="I11" s="15" t="s">
        <v>176</v>
      </c>
    </row>
    <row r="12" customFormat="false" ht="15" hidden="false" customHeight="false" outlineLevel="0" collapsed="false">
      <c r="A12" s="18" t="s">
        <v>182</v>
      </c>
      <c r="B12" s="19" t="s">
        <v>183</v>
      </c>
      <c r="C12" s="19" t="s">
        <v>183</v>
      </c>
      <c r="D12" s="18" t="s">
        <v>179</v>
      </c>
      <c r="E12" s="18" t="s">
        <v>174</v>
      </c>
      <c r="F12" s="20"/>
      <c r="G12" s="21"/>
      <c r="H12" s="15" t="s">
        <v>40</v>
      </c>
      <c r="I12" s="15" t="s">
        <v>176</v>
      </c>
    </row>
    <row r="13" customFormat="false" ht="15" hidden="false" customHeight="false" outlineLevel="0" collapsed="false">
      <c r="A13" s="18" t="s">
        <v>184</v>
      </c>
      <c r="B13" s="19" t="s">
        <v>185</v>
      </c>
      <c r="C13" s="19" t="s">
        <v>185</v>
      </c>
      <c r="D13" s="18" t="s">
        <v>179</v>
      </c>
      <c r="E13" s="18" t="s">
        <v>174</v>
      </c>
      <c r="F13" s="20"/>
      <c r="G13" s="21"/>
      <c r="H13" s="15" t="s">
        <v>40</v>
      </c>
      <c r="I13" s="15" t="s">
        <v>176</v>
      </c>
    </row>
    <row r="14" customFormat="false" ht="15" hidden="false" customHeight="false" outlineLevel="0" collapsed="false">
      <c r="A14" s="18" t="s">
        <v>186</v>
      </c>
      <c r="B14" s="19" t="s">
        <v>81</v>
      </c>
      <c r="C14" s="19" t="s">
        <v>81</v>
      </c>
      <c r="D14" s="18" t="s">
        <v>179</v>
      </c>
      <c r="E14" s="18" t="s">
        <v>174</v>
      </c>
      <c r="F14" s="20"/>
      <c r="G14" s="21"/>
      <c r="H14" s="15" t="s">
        <v>40</v>
      </c>
      <c r="I14" s="15" t="s">
        <v>176</v>
      </c>
    </row>
    <row r="15" customFormat="false" ht="15" hidden="false" customHeight="false" outlineLevel="0" collapsed="false">
      <c r="A15" s="18" t="s">
        <v>187</v>
      </c>
      <c r="B15" s="19" t="s">
        <v>188</v>
      </c>
      <c r="C15" s="19" t="s">
        <v>188</v>
      </c>
      <c r="D15" s="18" t="s">
        <v>179</v>
      </c>
      <c r="E15" s="18" t="s">
        <v>174</v>
      </c>
      <c r="F15" s="20"/>
      <c r="G15" s="21"/>
      <c r="H15" s="15" t="s">
        <v>40</v>
      </c>
      <c r="I15" s="15" t="s">
        <v>176</v>
      </c>
    </row>
    <row r="16" customFormat="false" ht="15" hidden="false" customHeight="false" outlineLevel="0" collapsed="false">
      <c r="A16" s="18" t="s">
        <v>189</v>
      </c>
      <c r="B16" s="19" t="s">
        <v>190</v>
      </c>
      <c r="C16" s="19" t="s">
        <v>191</v>
      </c>
      <c r="D16" s="18" t="s">
        <v>179</v>
      </c>
      <c r="E16" s="18" t="s">
        <v>174</v>
      </c>
      <c r="F16" s="20"/>
      <c r="G16" s="21"/>
      <c r="H16" s="15" t="s">
        <v>40</v>
      </c>
      <c r="I16" s="15" t="s">
        <v>176</v>
      </c>
    </row>
    <row r="17" customFormat="false" ht="15" hidden="false" customHeight="false" outlineLevel="0" collapsed="false">
      <c r="A17" s="18" t="s">
        <v>67</v>
      </c>
      <c r="B17" s="19" t="s">
        <v>192</v>
      </c>
      <c r="C17" s="19" t="s">
        <v>192</v>
      </c>
      <c r="D17" s="18" t="s">
        <v>179</v>
      </c>
      <c r="E17" s="18" t="s">
        <v>174</v>
      </c>
      <c r="F17" s="20"/>
      <c r="G17" s="21"/>
      <c r="H17" s="15" t="s">
        <v>40</v>
      </c>
      <c r="I17" s="15" t="s">
        <v>176</v>
      </c>
    </row>
    <row r="18" customFormat="false" ht="15" hidden="false" customHeight="false" outlineLevel="0" collapsed="false">
      <c r="A18" s="18" t="s">
        <v>73</v>
      </c>
      <c r="B18" s="19" t="s">
        <v>193</v>
      </c>
      <c r="C18" s="19" t="s">
        <v>193</v>
      </c>
      <c r="D18" s="18" t="s">
        <v>179</v>
      </c>
      <c r="E18" s="18" t="s">
        <v>174</v>
      </c>
      <c r="F18" s="20"/>
      <c r="G18" s="21"/>
      <c r="H18" s="15" t="s">
        <v>40</v>
      </c>
      <c r="I18" s="15" t="s">
        <v>176</v>
      </c>
    </row>
    <row r="19" customFormat="false" ht="15" hidden="false" customHeight="false" outlineLevel="0" collapsed="false">
      <c r="A19" s="18" t="s">
        <v>75</v>
      </c>
      <c r="B19" s="19" t="s">
        <v>194</v>
      </c>
      <c r="C19" s="19" t="s">
        <v>194</v>
      </c>
      <c r="D19" s="18" t="s">
        <v>179</v>
      </c>
      <c r="E19" s="18" t="s">
        <v>174</v>
      </c>
      <c r="F19" s="20"/>
      <c r="G19" s="21"/>
      <c r="H19" s="15" t="s">
        <v>40</v>
      </c>
      <c r="I19" s="15" t="s">
        <v>176</v>
      </c>
    </row>
    <row r="20" customFormat="false" ht="15" hidden="false" customHeight="false" outlineLevel="0" collapsed="false">
      <c r="A20" s="18" t="s">
        <v>77</v>
      </c>
      <c r="B20" s="19" t="s">
        <v>193</v>
      </c>
      <c r="C20" s="19" t="s">
        <v>193</v>
      </c>
      <c r="D20" s="18" t="s">
        <v>179</v>
      </c>
      <c r="E20" s="18" t="s">
        <v>174</v>
      </c>
      <c r="F20" s="20"/>
      <c r="G20" s="21"/>
      <c r="H20" s="15" t="s">
        <v>40</v>
      </c>
      <c r="I20" s="15" t="s">
        <v>176</v>
      </c>
    </row>
    <row r="21" customFormat="false" ht="15" hidden="false" customHeight="false" outlineLevel="0" collapsed="false">
      <c r="A21" s="18" t="s">
        <v>78</v>
      </c>
      <c r="B21" s="19" t="s">
        <v>195</v>
      </c>
      <c r="C21" s="19" t="s">
        <v>195</v>
      </c>
      <c r="D21" s="18" t="s">
        <v>179</v>
      </c>
      <c r="E21" s="18" t="s">
        <v>174</v>
      </c>
      <c r="F21" s="20"/>
      <c r="G21" s="21"/>
      <c r="H21" s="15" t="s">
        <v>40</v>
      </c>
      <c r="I21" s="15" t="s">
        <v>176</v>
      </c>
    </row>
    <row r="22" customFormat="false" ht="15" hidden="false" customHeight="false" outlineLevel="0" collapsed="false">
      <c r="A22" s="18" t="s">
        <v>196</v>
      </c>
      <c r="B22" s="19" t="s">
        <v>197</v>
      </c>
      <c r="C22" s="19" t="s">
        <v>197</v>
      </c>
      <c r="D22" s="18" t="s">
        <v>179</v>
      </c>
      <c r="E22" s="18" t="s">
        <v>174</v>
      </c>
      <c r="F22" s="20"/>
      <c r="G22" s="21"/>
      <c r="H22" s="15" t="s">
        <v>40</v>
      </c>
      <c r="I22" s="15" t="s">
        <v>176</v>
      </c>
    </row>
    <row r="23" customFormat="false" ht="15" hidden="false" customHeight="false" outlineLevel="0" collapsed="false">
      <c r="A23" s="18" t="s">
        <v>198</v>
      </c>
      <c r="B23" s="19" t="s">
        <v>199</v>
      </c>
      <c r="C23" s="19" t="s">
        <v>199</v>
      </c>
      <c r="D23" s="18" t="s">
        <v>179</v>
      </c>
      <c r="E23" s="18" t="s">
        <v>174</v>
      </c>
      <c r="F23" s="20"/>
      <c r="G23" s="21"/>
      <c r="H23" s="15" t="s">
        <v>40</v>
      </c>
      <c r="I23" s="15" t="s">
        <v>176</v>
      </c>
    </row>
    <row r="24" customFormat="false" ht="15" hidden="false" customHeight="false" outlineLevel="0" collapsed="false">
      <c r="A24" s="18" t="s">
        <v>49</v>
      </c>
      <c r="B24" s="19" t="s">
        <v>50</v>
      </c>
      <c r="C24" s="19" t="s">
        <v>50</v>
      </c>
      <c r="D24" s="18" t="s">
        <v>173</v>
      </c>
      <c r="E24" s="18" t="s">
        <v>174</v>
      </c>
      <c r="F24" s="20"/>
      <c r="G24" s="21" t="s">
        <v>175</v>
      </c>
      <c r="H24" s="15" t="s">
        <v>40</v>
      </c>
      <c r="I24" s="15" t="s">
        <v>176</v>
      </c>
    </row>
    <row r="25" customFormat="false" ht="15" hidden="false" customHeight="false" outlineLevel="0" collapsed="false">
      <c r="A25" s="18" t="s">
        <v>80</v>
      </c>
      <c r="B25" s="19" t="s">
        <v>81</v>
      </c>
      <c r="C25" s="19" t="s">
        <v>81</v>
      </c>
      <c r="D25" s="18" t="s">
        <v>179</v>
      </c>
      <c r="E25" s="18" t="s">
        <v>174</v>
      </c>
      <c r="F25" s="20"/>
      <c r="G25" s="21"/>
      <c r="H25" s="15" t="s">
        <v>40</v>
      </c>
      <c r="I25" s="15" t="s">
        <v>176</v>
      </c>
    </row>
    <row r="26" customFormat="false" ht="15" hidden="false" customHeight="false" outlineLevel="0" collapsed="false">
      <c r="A26" s="18" t="s">
        <v>200</v>
      </c>
      <c r="B26" s="19" t="s">
        <v>201</v>
      </c>
      <c r="C26" s="19" t="s">
        <v>201</v>
      </c>
      <c r="D26" s="18" t="s">
        <v>179</v>
      </c>
      <c r="E26" s="18" t="s">
        <v>174</v>
      </c>
      <c r="F26" s="20"/>
      <c r="G26" s="21"/>
      <c r="H26" s="15" t="s">
        <v>40</v>
      </c>
      <c r="I26" s="15" t="s">
        <v>176</v>
      </c>
    </row>
    <row r="27" customFormat="false" ht="15" hidden="false" customHeight="false" outlineLevel="0" collapsed="false">
      <c r="A27" s="18" t="s">
        <v>82</v>
      </c>
      <c r="B27" s="19" t="s">
        <v>191</v>
      </c>
      <c r="C27" s="19" t="s">
        <v>191</v>
      </c>
      <c r="D27" s="18" t="s">
        <v>179</v>
      </c>
      <c r="E27" s="18" t="s">
        <v>174</v>
      </c>
      <c r="F27" s="20"/>
      <c r="G27" s="21"/>
      <c r="H27" s="15" t="s">
        <v>40</v>
      </c>
      <c r="I27" s="15" t="s">
        <v>176</v>
      </c>
    </row>
    <row r="28" customFormat="false" ht="15" hidden="false" customHeight="false" outlineLevel="0" collapsed="false">
      <c r="A28" s="18" t="s">
        <v>83</v>
      </c>
      <c r="B28" s="19" t="s">
        <v>202</v>
      </c>
      <c r="C28" s="19" t="s">
        <v>202</v>
      </c>
      <c r="D28" s="18" t="s">
        <v>179</v>
      </c>
      <c r="E28" s="18" t="s">
        <v>174</v>
      </c>
      <c r="F28" s="20"/>
      <c r="G28" s="21"/>
      <c r="H28" s="15" t="s">
        <v>40</v>
      </c>
      <c r="I28" s="15" t="s">
        <v>176</v>
      </c>
    </row>
    <row r="30" customFormat="false" ht="15" hidden="false" customHeight="false" outlineLevel="0" collapsed="false">
      <c r="A30" s="14" t="s">
        <v>203</v>
      </c>
      <c r="B30" s="14"/>
      <c r="C30" s="14"/>
      <c r="D30" s="14"/>
      <c r="E30" s="14"/>
      <c r="F30" s="14"/>
      <c r="G30" s="14"/>
      <c r="H30" s="15" t="s">
        <v>40</v>
      </c>
      <c r="I30" s="15" t="s">
        <v>164</v>
      </c>
      <c r="J30" s="15" t="s">
        <v>165</v>
      </c>
    </row>
    <row r="31" customFormat="false" ht="15" hidden="false" customHeight="false" outlineLevel="0" collapsed="false">
      <c r="A31" s="16" t="s">
        <v>204</v>
      </c>
    </row>
    <row r="32" customFormat="false" ht="15" hidden="false" customHeight="false" outlineLevel="0" collapsed="false">
      <c r="A32" s="17" t="s">
        <v>167</v>
      </c>
      <c r="B32" s="17" t="s">
        <v>168</v>
      </c>
      <c r="C32" s="17" t="s">
        <v>169</v>
      </c>
      <c r="D32" s="17" t="s">
        <v>170</v>
      </c>
      <c r="E32" s="17" t="s">
        <v>171</v>
      </c>
      <c r="F32" s="17" t="s">
        <v>17</v>
      </c>
      <c r="G32" s="17" t="s">
        <v>172</v>
      </c>
    </row>
    <row r="33" customFormat="false" ht="15" hidden="false" customHeight="false" outlineLevel="0" collapsed="false">
      <c r="A33" s="18" t="s">
        <v>45</v>
      </c>
      <c r="B33" s="19" t="s">
        <v>52</v>
      </c>
      <c r="C33" s="19" t="s">
        <v>52</v>
      </c>
      <c r="D33" s="18" t="s">
        <v>173</v>
      </c>
      <c r="E33" s="18" t="s">
        <v>174</v>
      </c>
      <c r="F33" s="20"/>
      <c r="G33" s="21" t="s">
        <v>175</v>
      </c>
      <c r="H33" s="15" t="s">
        <v>40</v>
      </c>
      <c r="I33" s="15" t="s">
        <v>176</v>
      </c>
    </row>
    <row r="34" customFormat="false" ht="15" hidden="false" customHeight="false" outlineLevel="0" collapsed="false">
      <c r="A34" s="18" t="s">
        <v>86</v>
      </c>
      <c r="B34" s="19" t="s">
        <v>205</v>
      </c>
      <c r="C34" s="19" t="s">
        <v>206</v>
      </c>
      <c r="D34" s="18" t="s">
        <v>179</v>
      </c>
      <c r="E34" s="18" t="s">
        <v>174</v>
      </c>
      <c r="F34" s="20"/>
      <c r="G34" s="21"/>
      <c r="H34" s="15" t="s">
        <v>40</v>
      </c>
      <c r="I34" s="15" t="s">
        <v>176</v>
      </c>
    </row>
    <row r="35" customFormat="false" ht="15" hidden="false" customHeight="false" outlineLevel="0" collapsed="false">
      <c r="A35" s="18" t="s">
        <v>180</v>
      </c>
      <c r="B35" s="19" t="s">
        <v>207</v>
      </c>
      <c r="C35" s="19" t="s">
        <v>207</v>
      </c>
      <c r="D35" s="18" t="s">
        <v>179</v>
      </c>
      <c r="E35" s="18" t="s">
        <v>174</v>
      </c>
      <c r="F35" s="20"/>
      <c r="G35" s="21"/>
      <c r="H35" s="15" t="s">
        <v>40</v>
      </c>
      <c r="I35" s="15" t="s">
        <v>176</v>
      </c>
    </row>
    <row r="36" customFormat="false" ht="15" hidden="false" customHeight="false" outlineLevel="0" collapsed="false">
      <c r="A36" s="18" t="s">
        <v>184</v>
      </c>
      <c r="B36" s="19" t="s">
        <v>208</v>
      </c>
      <c r="C36" s="19" t="s">
        <v>208</v>
      </c>
      <c r="D36" s="18" t="s">
        <v>179</v>
      </c>
      <c r="E36" s="18" t="s">
        <v>174</v>
      </c>
      <c r="F36" s="20"/>
      <c r="G36" s="21"/>
      <c r="H36" s="15" t="s">
        <v>40</v>
      </c>
      <c r="I36" s="15" t="s">
        <v>176</v>
      </c>
    </row>
    <row r="37" customFormat="false" ht="15" hidden="false" customHeight="false" outlineLevel="0" collapsed="false">
      <c r="A37" s="18" t="s">
        <v>186</v>
      </c>
      <c r="B37" s="19" t="s">
        <v>81</v>
      </c>
      <c r="C37" s="19" t="s">
        <v>81</v>
      </c>
      <c r="D37" s="18" t="s">
        <v>179</v>
      </c>
      <c r="E37" s="18" t="s">
        <v>174</v>
      </c>
      <c r="F37" s="20"/>
      <c r="G37" s="21"/>
      <c r="H37" s="15" t="s">
        <v>40</v>
      </c>
      <c r="I37" s="15" t="s">
        <v>176</v>
      </c>
    </row>
    <row r="38" customFormat="false" ht="15" hidden="false" customHeight="false" outlineLevel="0" collapsed="false">
      <c r="A38" s="18" t="s">
        <v>187</v>
      </c>
      <c r="B38" s="19" t="s">
        <v>209</v>
      </c>
      <c r="C38" s="19" t="s">
        <v>209</v>
      </c>
      <c r="D38" s="18" t="s">
        <v>179</v>
      </c>
      <c r="E38" s="18" t="s">
        <v>174</v>
      </c>
      <c r="F38" s="20"/>
      <c r="G38" s="21"/>
      <c r="H38" s="15" t="s">
        <v>40</v>
      </c>
      <c r="I38" s="15" t="s">
        <v>176</v>
      </c>
    </row>
    <row r="39" customFormat="false" ht="15" hidden="false" customHeight="false" outlineLevel="0" collapsed="false">
      <c r="A39" s="18" t="s">
        <v>189</v>
      </c>
      <c r="B39" s="19" t="s">
        <v>210</v>
      </c>
      <c r="C39" s="19" t="s">
        <v>210</v>
      </c>
      <c r="D39" s="18" t="s">
        <v>179</v>
      </c>
      <c r="E39" s="18" t="s">
        <v>174</v>
      </c>
      <c r="F39" s="20"/>
      <c r="G39" s="21"/>
      <c r="H39" s="15" t="s">
        <v>40</v>
      </c>
      <c r="I39" s="15" t="s">
        <v>176</v>
      </c>
    </row>
    <row r="40" customFormat="false" ht="15" hidden="false" customHeight="false" outlineLevel="0" collapsed="false">
      <c r="A40" s="18" t="s">
        <v>67</v>
      </c>
      <c r="B40" s="19" t="s">
        <v>211</v>
      </c>
      <c r="C40" s="19" t="s">
        <v>211</v>
      </c>
      <c r="D40" s="18" t="s">
        <v>179</v>
      </c>
      <c r="E40" s="18" t="s">
        <v>174</v>
      </c>
      <c r="F40" s="20"/>
      <c r="G40" s="21"/>
      <c r="H40" s="15" t="s">
        <v>40</v>
      </c>
      <c r="I40" s="15" t="s">
        <v>176</v>
      </c>
    </row>
    <row r="41" customFormat="false" ht="15" hidden="false" customHeight="false" outlineLevel="0" collapsed="false">
      <c r="A41" s="18" t="s">
        <v>73</v>
      </c>
      <c r="B41" s="19" t="s">
        <v>210</v>
      </c>
      <c r="C41" s="19" t="s">
        <v>210</v>
      </c>
      <c r="D41" s="18" t="s">
        <v>179</v>
      </c>
      <c r="E41" s="18" t="s">
        <v>174</v>
      </c>
      <c r="F41" s="20"/>
      <c r="G41" s="21"/>
      <c r="H41" s="15" t="s">
        <v>40</v>
      </c>
      <c r="I41" s="15" t="s">
        <v>176</v>
      </c>
    </row>
    <row r="42" customFormat="false" ht="15" hidden="false" customHeight="false" outlineLevel="0" collapsed="false">
      <c r="A42" s="18" t="s">
        <v>75</v>
      </c>
      <c r="B42" s="19" t="s">
        <v>212</v>
      </c>
      <c r="C42" s="19" t="s">
        <v>212</v>
      </c>
      <c r="D42" s="18" t="s">
        <v>179</v>
      </c>
      <c r="E42" s="18" t="s">
        <v>174</v>
      </c>
      <c r="F42" s="20"/>
      <c r="G42" s="21"/>
      <c r="H42" s="15" t="s">
        <v>40</v>
      </c>
      <c r="I42" s="15" t="s">
        <v>176</v>
      </c>
    </row>
    <row r="43" customFormat="false" ht="15" hidden="false" customHeight="false" outlineLevel="0" collapsed="false">
      <c r="A43" s="18" t="s">
        <v>77</v>
      </c>
      <c r="B43" s="19" t="s">
        <v>210</v>
      </c>
      <c r="C43" s="19" t="s">
        <v>210</v>
      </c>
      <c r="D43" s="18" t="s">
        <v>179</v>
      </c>
      <c r="E43" s="18" t="s">
        <v>174</v>
      </c>
      <c r="F43" s="20"/>
      <c r="G43" s="21"/>
      <c r="H43" s="15" t="s">
        <v>40</v>
      </c>
      <c r="I43" s="15" t="s">
        <v>176</v>
      </c>
    </row>
    <row r="44" customFormat="false" ht="15" hidden="false" customHeight="false" outlineLevel="0" collapsed="false">
      <c r="A44" s="18" t="s">
        <v>78</v>
      </c>
      <c r="B44" s="19" t="s">
        <v>213</v>
      </c>
      <c r="C44" s="19" t="s">
        <v>213</v>
      </c>
      <c r="D44" s="18" t="s">
        <v>179</v>
      </c>
      <c r="E44" s="18" t="s">
        <v>174</v>
      </c>
      <c r="F44" s="20"/>
      <c r="G44" s="21"/>
      <c r="H44" s="15" t="s">
        <v>40</v>
      </c>
      <c r="I44" s="15" t="s">
        <v>176</v>
      </c>
    </row>
    <row r="45" customFormat="false" ht="15" hidden="false" customHeight="false" outlineLevel="0" collapsed="false">
      <c r="A45" s="18" t="s">
        <v>80</v>
      </c>
      <c r="B45" s="19" t="s">
        <v>81</v>
      </c>
      <c r="C45" s="19" t="s">
        <v>81</v>
      </c>
      <c r="D45" s="18" t="s">
        <v>179</v>
      </c>
      <c r="E45" s="18" t="s">
        <v>174</v>
      </c>
      <c r="F45" s="20"/>
      <c r="G45" s="21"/>
      <c r="H45" s="15" t="s">
        <v>40</v>
      </c>
      <c r="I45" s="15" t="s">
        <v>176</v>
      </c>
    </row>
    <row r="46" customFormat="false" ht="15" hidden="false" customHeight="false" outlineLevel="0" collapsed="false">
      <c r="A46" s="18" t="s">
        <v>82</v>
      </c>
      <c r="B46" s="19" t="s">
        <v>210</v>
      </c>
      <c r="C46" s="19" t="s">
        <v>210</v>
      </c>
      <c r="D46" s="18" t="s">
        <v>179</v>
      </c>
      <c r="E46" s="18" t="s">
        <v>174</v>
      </c>
      <c r="F46" s="20"/>
      <c r="G46" s="21"/>
      <c r="H46" s="15" t="s">
        <v>40</v>
      </c>
      <c r="I46" s="15" t="s">
        <v>176</v>
      </c>
    </row>
    <row r="47" customFormat="false" ht="15" hidden="false" customHeight="false" outlineLevel="0" collapsed="false">
      <c r="A47" s="18" t="s">
        <v>83</v>
      </c>
      <c r="B47" s="19" t="s">
        <v>214</v>
      </c>
      <c r="C47" s="19" t="s">
        <v>214</v>
      </c>
      <c r="D47" s="18" t="s">
        <v>179</v>
      </c>
      <c r="E47" s="18" t="s">
        <v>174</v>
      </c>
      <c r="F47" s="20"/>
      <c r="G47" s="21"/>
      <c r="H47" s="15" t="s">
        <v>40</v>
      </c>
      <c r="I47" s="15" t="s">
        <v>176</v>
      </c>
    </row>
  </sheetData>
  <mergeCells count="3">
    <mergeCell ref="A4:G4"/>
    <mergeCell ref="A6:G6"/>
    <mergeCell ref="A30:G30"/>
  </mergeCells>
  <conditionalFormatting sqref="D4:D50">
    <cfRule type="cellIs" priority="2" operator="equal" aboveAverage="0" equalAverage="0" bottom="0" percent="0" rank="0" text="" dxfId="3">
      <formula>"MISMATCH"</formula>
    </cfRule>
    <cfRule type="cellIs" priority="3" operator="equal" aboveAverage="0" equalAverage="0" bottom="0" percent="0" rank="0" text="" dxfId="4">
      <formula>"OK"</formula>
    </cfRule>
  </conditionalFormatting>
  <hyperlinks>
    <hyperlink ref="A7" r:id="rId1" display="Evidence: screenshot 223850_6789_W2_1.png  (SHA-256 dac9b8759818a663...)"/>
    <hyperlink ref="A31" r:id="rId2" display="Evidence: screenshot 223850_6789_W2_2.png  (SHA-256 dac9b8759818a663...)"/>
  </hyperlink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&amp;LConfidential - contains taxpayer information&amp;RPage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2"/>
    <col collapsed="false" customWidth="true" hidden="false" outlineLevel="0" max="4" min="4" style="0" width="15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7" min="7" style="0" width="44"/>
    <col collapsed="false" customWidth="true" hidden="true" outlineLevel="0" max="8" min="8" style="0" width="6"/>
    <col collapsed="false" customWidth="true" hidden="true" outlineLevel="0" max="9" min="9" style="0" width="9"/>
    <col collapsed="false" customWidth="true" hidden="true" outlineLevel="0" max="10" min="10" style="0" width="20"/>
  </cols>
  <sheetData>
    <row r="1" customFormat="false" ht="17.35" hidden="false" customHeight="false" outlineLevel="0" collapsed="false">
      <c r="A1" s="1" t="s">
        <v>215</v>
      </c>
    </row>
    <row r="2" customFormat="false" ht="15" hidden="false" customHeight="false" outlineLevel="0" collapsed="false">
      <c r="A2" s="2" t="s">
        <v>161</v>
      </c>
    </row>
    <row r="4" customFormat="false" ht="21.75" hidden="false" customHeight="true" outlineLevel="0" collapsed="false">
      <c r="A4" s="13" t="s">
        <v>162</v>
      </c>
      <c r="B4" s="13"/>
      <c r="C4" s="13"/>
      <c r="D4" s="13"/>
      <c r="E4" s="13"/>
      <c r="F4" s="13"/>
      <c r="G4" s="13"/>
    </row>
    <row r="6" customFormat="false" ht="15" hidden="false" customHeight="false" outlineLevel="0" collapsed="false">
      <c r="A6" s="14" t="s">
        <v>216</v>
      </c>
      <c r="B6" s="14"/>
      <c r="C6" s="14"/>
      <c r="D6" s="14"/>
      <c r="E6" s="14"/>
      <c r="F6" s="14"/>
      <c r="G6" s="14"/>
      <c r="H6" s="15" t="s">
        <v>40</v>
      </c>
      <c r="I6" s="15" t="s">
        <v>164</v>
      </c>
      <c r="J6" s="15" t="s">
        <v>165</v>
      </c>
    </row>
    <row r="7" customFormat="false" ht="15" hidden="false" customHeight="false" outlineLevel="0" collapsed="false">
      <c r="A7" s="16" t="s">
        <v>217</v>
      </c>
    </row>
    <row r="8" customFormat="false" ht="15" hidden="false" customHeight="false" outlineLevel="0" collapsed="false">
      <c r="A8" s="22" t="s">
        <v>218</v>
      </c>
    </row>
    <row r="9" customFormat="false" ht="15" hidden="false" customHeight="false" outlineLevel="0" collapsed="false">
      <c r="A9" s="17" t="s">
        <v>167</v>
      </c>
      <c r="B9" s="17" t="s">
        <v>168</v>
      </c>
      <c r="C9" s="17" t="s">
        <v>169</v>
      </c>
      <c r="D9" s="17" t="s">
        <v>170</v>
      </c>
      <c r="E9" s="17" t="s">
        <v>171</v>
      </c>
      <c r="F9" s="17" t="s">
        <v>17</v>
      </c>
      <c r="G9" s="17" t="s">
        <v>172</v>
      </c>
    </row>
    <row r="10" customFormat="false" ht="15" hidden="false" customHeight="false" outlineLevel="0" collapsed="false">
      <c r="A10" s="18" t="s">
        <v>45</v>
      </c>
      <c r="B10" s="19" t="s">
        <v>47</v>
      </c>
      <c r="C10" s="19" t="s">
        <v>47</v>
      </c>
      <c r="D10" s="18" t="s">
        <v>173</v>
      </c>
      <c r="E10" s="18" t="s">
        <v>219</v>
      </c>
      <c r="F10" s="20"/>
      <c r="G10" s="21" t="s">
        <v>175</v>
      </c>
      <c r="H10" s="15" t="s">
        <v>40</v>
      </c>
      <c r="I10" s="15" t="s">
        <v>176</v>
      </c>
    </row>
    <row r="11" customFormat="false" ht="15" hidden="false" customHeight="false" outlineLevel="0" collapsed="false">
      <c r="A11" s="18" t="s">
        <v>86</v>
      </c>
      <c r="B11" s="19" t="s">
        <v>89</v>
      </c>
      <c r="C11" s="19" t="s">
        <v>88</v>
      </c>
      <c r="D11" s="18" t="s">
        <v>179</v>
      </c>
      <c r="E11" s="18" t="s">
        <v>219</v>
      </c>
      <c r="F11" s="20"/>
      <c r="G11" s="21"/>
      <c r="H11" s="15" t="s">
        <v>40</v>
      </c>
      <c r="I11" s="15" t="s">
        <v>176</v>
      </c>
    </row>
    <row r="12" customFormat="false" ht="15" hidden="false" customHeight="false" outlineLevel="0" collapsed="false">
      <c r="A12" s="18" t="s">
        <v>180</v>
      </c>
      <c r="B12" s="19" t="s">
        <v>220</v>
      </c>
      <c r="C12" s="19" t="s">
        <v>220</v>
      </c>
      <c r="D12" s="18" t="s">
        <v>179</v>
      </c>
      <c r="E12" s="18" t="s">
        <v>219</v>
      </c>
      <c r="F12" s="20"/>
      <c r="G12" s="21"/>
      <c r="H12" s="15" t="s">
        <v>40</v>
      </c>
      <c r="I12" s="15" t="s">
        <v>176</v>
      </c>
    </row>
    <row r="13" customFormat="false" ht="15" hidden="false" customHeight="false" outlineLevel="0" collapsed="false">
      <c r="A13" s="18" t="s">
        <v>184</v>
      </c>
      <c r="B13" s="19" t="s">
        <v>185</v>
      </c>
      <c r="C13" s="19" t="s">
        <v>185</v>
      </c>
      <c r="D13" s="18" t="s">
        <v>179</v>
      </c>
      <c r="E13" s="18" t="s">
        <v>219</v>
      </c>
      <c r="F13" s="20"/>
      <c r="G13" s="21"/>
      <c r="H13" s="15" t="s">
        <v>40</v>
      </c>
      <c r="I13" s="15" t="s">
        <v>176</v>
      </c>
    </row>
    <row r="14" customFormat="false" ht="15" hidden="false" customHeight="false" outlineLevel="0" collapsed="false">
      <c r="A14" s="18" t="s">
        <v>186</v>
      </c>
      <c r="B14" s="19" t="s">
        <v>81</v>
      </c>
      <c r="C14" s="19" t="s">
        <v>81</v>
      </c>
      <c r="D14" s="18" t="s">
        <v>179</v>
      </c>
      <c r="E14" s="18" t="s">
        <v>219</v>
      </c>
      <c r="F14" s="20"/>
      <c r="G14" s="21"/>
      <c r="H14" s="15" t="s">
        <v>40</v>
      </c>
      <c r="I14" s="15" t="s">
        <v>176</v>
      </c>
    </row>
    <row r="15" customFormat="false" ht="15" hidden="false" customHeight="false" outlineLevel="0" collapsed="false">
      <c r="A15" s="18" t="s">
        <v>187</v>
      </c>
      <c r="B15" s="19" t="s">
        <v>221</v>
      </c>
      <c r="C15" s="19" t="s">
        <v>221</v>
      </c>
      <c r="D15" s="18" t="s">
        <v>179</v>
      </c>
      <c r="E15" s="18" t="s">
        <v>219</v>
      </c>
      <c r="F15" s="20"/>
      <c r="G15" s="21"/>
      <c r="H15" s="15" t="s">
        <v>40</v>
      </c>
      <c r="I15" s="15" t="s">
        <v>176</v>
      </c>
    </row>
    <row r="16" customFormat="false" ht="15" hidden="false" customHeight="false" outlineLevel="0" collapsed="false">
      <c r="A16" s="18" t="s">
        <v>189</v>
      </c>
      <c r="B16" s="19" t="s">
        <v>74</v>
      </c>
      <c r="C16" s="19" t="s">
        <v>74</v>
      </c>
      <c r="D16" s="18" t="s">
        <v>179</v>
      </c>
      <c r="E16" s="18" t="s">
        <v>219</v>
      </c>
      <c r="F16" s="20"/>
      <c r="G16" s="21"/>
      <c r="H16" s="15" t="s">
        <v>40</v>
      </c>
      <c r="I16" s="15" t="s">
        <v>176</v>
      </c>
    </row>
    <row r="17" customFormat="false" ht="15" hidden="false" customHeight="false" outlineLevel="0" collapsed="false">
      <c r="A17" s="18" t="s">
        <v>67</v>
      </c>
      <c r="B17" s="19" t="s">
        <v>69</v>
      </c>
      <c r="C17" s="19" t="s">
        <v>69</v>
      </c>
      <c r="D17" s="18" t="s">
        <v>179</v>
      </c>
      <c r="E17" s="18" t="s">
        <v>219</v>
      </c>
      <c r="F17" s="20"/>
      <c r="G17" s="21"/>
      <c r="H17" s="15" t="s">
        <v>40</v>
      </c>
      <c r="I17" s="15" t="s">
        <v>176</v>
      </c>
    </row>
    <row r="18" customFormat="false" ht="15" hidden="false" customHeight="false" outlineLevel="0" collapsed="false">
      <c r="A18" s="18" t="s">
        <v>73</v>
      </c>
      <c r="B18" s="19" t="s">
        <v>74</v>
      </c>
      <c r="C18" s="19" t="s">
        <v>74</v>
      </c>
      <c r="D18" s="18" t="s">
        <v>179</v>
      </c>
      <c r="E18" s="18" t="s">
        <v>219</v>
      </c>
      <c r="F18" s="20"/>
      <c r="G18" s="21"/>
      <c r="H18" s="15" t="s">
        <v>40</v>
      </c>
      <c r="I18" s="15" t="s">
        <v>176</v>
      </c>
    </row>
    <row r="19" customFormat="false" ht="15" hidden="false" customHeight="false" outlineLevel="0" collapsed="false">
      <c r="A19" s="18" t="s">
        <v>75</v>
      </c>
      <c r="B19" s="19" t="s">
        <v>76</v>
      </c>
      <c r="C19" s="19" t="s">
        <v>76</v>
      </c>
      <c r="D19" s="18" t="s">
        <v>179</v>
      </c>
      <c r="E19" s="18" t="s">
        <v>219</v>
      </c>
      <c r="F19" s="20"/>
      <c r="G19" s="21"/>
      <c r="H19" s="15" t="s">
        <v>40</v>
      </c>
      <c r="I19" s="15" t="s">
        <v>176</v>
      </c>
    </row>
    <row r="20" customFormat="false" ht="15" hidden="false" customHeight="false" outlineLevel="0" collapsed="false">
      <c r="A20" s="18" t="s">
        <v>77</v>
      </c>
      <c r="B20" s="19" t="s">
        <v>74</v>
      </c>
      <c r="C20" s="19" t="s">
        <v>74</v>
      </c>
      <c r="D20" s="18" t="s">
        <v>179</v>
      </c>
      <c r="E20" s="18" t="s">
        <v>219</v>
      </c>
      <c r="F20" s="20"/>
      <c r="G20" s="21"/>
      <c r="H20" s="15" t="s">
        <v>40</v>
      </c>
      <c r="I20" s="15" t="s">
        <v>176</v>
      </c>
    </row>
    <row r="21" customFormat="false" ht="15" hidden="false" customHeight="false" outlineLevel="0" collapsed="false">
      <c r="A21" s="18" t="s">
        <v>78</v>
      </c>
      <c r="B21" s="19" t="s">
        <v>79</v>
      </c>
      <c r="C21" s="19" t="s">
        <v>79</v>
      </c>
      <c r="D21" s="18" t="s">
        <v>179</v>
      </c>
      <c r="E21" s="18" t="s">
        <v>219</v>
      </c>
      <c r="F21" s="20"/>
      <c r="G21" s="21"/>
      <c r="H21" s="15" t="s">
        <v>40</v>
      </c>
      <c r="I21" s="15" t="s">
        <v>176</v>
      </c>
    </row>
    <row r="22" customFormat="false" ht="15" hidden="false" customHeight="false" outlineLevel="0" collapsed="false">
      <c r="A22" s="18" t="s">
        <v>80</v>
      </c>
      <c r="B22" s="19" t="s">
        <v>81</v>
      </c>
      <c r="C22" s="19" t="s">
        <v>81</v>
      </c>
      <c r="D22" s="18" t="s">
        <v>179</v>
      </c>
      <c r="E22" s="18" t="s">
        <v>219</v>
      </c>
      <c r="F22" s="20"/>
      <c r="G22" s="21"/>
      <c r="H22" s="15" t="s">
        <v>40</v>
      </c>
      <c r="I22" s="15" t="s">
        <v>176</v>
      </c>
    </row>
    <row r="23" customFormat="false" ht="15" hidden="false" customHeight="false" outlineLevel="0" collapsed="false">
      <c r="A23" s="18" t="s">
        <v>82</v>
      </c>
      <c r="B23" s="19" t="s">
        <v>74</v>
      </c>
      <c r="C23" s="19" t="s">
        <v>74</v>
      </c>
      <c r="D23" s="18" t="s">
        <v>179</v>
      </c>
      <c r="E23" s="18" t="s">
        <v>219</v>
      </c>
      <c r="F23" s="20"/>
      <c r="G23" s="21"/>
      <c r="H23" s="15" t="s">
        <v>40</v>
      </c>
      <c r="I23" s="15" t="s">
        <v>176</v>
      </c>
    </row>
    <row r="24" customFormat="false" ht="15" hidden="false" customHeight="false" outlineLevel="0" collapsed="false">
      <c r="A24" s="18" t="s">
        <v>83</v>
      </c>
      <c r="B24" s="19" t="s">
        <v>84</v>
      </c>
      <c r="C24" s="19" t="s">
        <v>84</v>
      </c>
      <c r="D24" s="18" t="s">
        <v>179</v>
      </c>
      <c r="E24" s="18" t="s">
        <v>219</v>
      </c>
      <c r="F24" s="20"/>
      <c r="G24" s="21"/>
      <c r="H24" s="15" t="s">
        <v>40</v>
      </c>
      <c r="I24" s="15" t="s">
        <v>176</v>
      </c>
    </row>
  </sheetData>
  <mergeCells count="2">
    <mergeCell ref="A4:G4"/>
    <mergeCell ref="A6:G6"/>
  </mergeCells>
  <conditionalFormatting sqref="D4:D27">
    <cfRule type="cellIs" priority="2" operator="equal" aboveAverage="0" equalAverage="0" bottom="0" percent="0" rank="0" text="" dxfId="3">
      <formula>"MISMATCH"</formula>
    </cfRule>
    <cfRule type="cellIs" priority="3" operator="equal" aboveAverage="0" equalAverage="0" bottom="0" percent="0" rank="0" text="" dxfId="4">
      <formula>"OK"</formula>
    </cfRule>
  </conditionalFormatting>
  <hyperlinks>
    <hyperlink ref="A7" r:id="rId1" display="Evidence: screenshot 223855_4321_W2_1.png  (SHA-256 dac9b8759818a663...)"/>
  </hyperlink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&amp;LConfidential - contains taxpayer information&amp;RPage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2"/>
    <col collapsed="false" customWidth="true" hidden="false" outlineLevel="0" max="4" min="4" style="0" width="15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7" min="7" style="0" width="44"/>
    <col collapsed="false" customWidth="true" hidden="true" outlineLevel="0" max="8" min="8" style="0" width="6"/>
    <col collapsed="false" customWidth="true" hidden="true" outlineLevel="0" max="9" min="9" style="0" width="9"/>
    <col collapsed="false" customWidth="true" hidden="true" outlineLevel="0" max="10" min="10" style="0" width="20"/>
  </cols>
  <sheetData>
    <row r="1" customFormat="false" ht="17.35" hidden="false" customHeight="false" outlineLevel="0" collapsed="false">
      <c r="A1" s="1" t="s">
        <v>222</v>
      </c>
    </row>
    <row r="2" customFormat="false" ht="15" hidden="false" customHeight="false" outlineLevel="0" collapsed="false">
      <c r="A2" s="2" t="s">
        <v>161</v>
      </c>
    </row>
    <row r="4" customFormat="false" ht="21.75" hidden="false" customHeight="true" outlineLevel="0" collapsed="false">
      <c r="A4" s="13" t="s">
        <v>162</v>
      </c>
      <c r="B4" s="13"/>
      <c r="C4" s="13"/>
      <c r="D4" s="13"/>
      <c r="E4" s="13"/>
      <c r="F4" s="13"/>
      <c r="G4" s="13"/>
    </row>
    <row r="6" customFormat="false" ht="15" hidden="false" customHeight="false" outlineLevel="0" collapsed="false">
      <c r="A6" s="14" t="s">
        <v>223</v>
      </c>
      <c r="B6" s="14"/>
      <c r="C6" s="14"/>
      <c r="D6" s="14"/>
      <c r="E6" s="14"/>
      <c r="F6" s="14"/>
      <c r="G6" s="14"/>
      <c r="H6" s="15" t="s">
        <v>40</v>
      </c>
      <c r="I6" s="15" t="s">
        <v>164</v>
      </c>
      <c r="J6" s="15" t="s">
        <v>165</v>
      </c>
    </row>
    <row r="7" customFormat="false" ht="15" hidden="false" customHeight="false" outlineLevel="0" collapsed="false">
      <c r="A7" s="16" t="s">
        <v>224</v>
      </c>
    </row>
    <row r="8" customFormat="false" ht="15" hidden="false" customHeight="false" outlineLevel="0" collapsed="false">
      <c r="A8" s="17" t="s">
        <v>167</v>
      </c>
      <c r="B8" s="17" t="s">
        <v>168</v>
      </c>
      <c r="C8" s="17" t="s">
        <v>169</v>
      </c>
      <c r="D8" s="17" t="s">
        <v>170</v>
      </c>
      <c r="E8" s="17" t="s">
        <v>171</v>
      </c>
      <c r="F8" s="17" t="s">
        <v>17</v>
      </c>
      <c r="G8" s="17" t="s">
        <v>172</v>
      </c>
    </row>
    <row r="9" customFormat="false" ht="15" hidden="false" customHeight="false" outlineLevel="0" collapsed="false">
      <c r="A9" s="18" t="s">
        <v>45</v>
      </c>
      <c r="B9" s="19" t="s">
        <v>47</v>
      </c>
      <c r="C9" s="19" t="s">
        <v>47</v>
      </c>
      <c r="D9" s="18" t="s">
        <v>173</v>
      </c>
      <c r="E9" s="18" t="s">
        <v>225</v>
      </c>
      <c r="F9" s="20"/>
      <c r="G9" s="21" t="s">
        <v>175</v>
      </c>
      <c r="H9" s="15" t="s">
        <v>40</v>
      </c>
      <c r="I9" s="15" t="s">
        <v>176</v>
      </c>
    </row>
    <row r="10" customFormat="false" ht="15" hidden="false" customHeight="false" outlineLevel="0" collapsed="false">
      <c r="A10" s="18" t="s">
        <v>86</v>
      </c>
      <c r="B10" s="19" t="s">
        <v>226</v>
      </c>
      <c r="C10" s="19" t="s">
        <v>227</v>
      </c>
      <c r="D10" s="18" t="s">
        <v>179</v>
      </c>
      <c r="E10" s="18" t="s">
        <v>225</v>
      </c>
      <c r="F10" s="20"/>
      <c r="G10" s="21"/>
      <c r="H10" s="15" t="s">
        <v>40</v>
      </c>
      <c r="I10" s="15" t="s">
        <v>176</v>
      </c>
    </row>
    <row r="11" customFormat="false" ht="23.85" hidden="false" customHeight="false" outlineLevel="0" collapsed="false">
      <c r="A11" s="18" t="s">
        <v>180</v>
      </c>
      <c r="B11" s="19" t="s">
        <v>228</v>
      </c>
      <c r="C11" s="19" t="s">
        <v>228</v>
      </c>
      <c r="D11" s="18" t="s">
        <v>179</v>
      </c>
      <c r="E11" s="18" t="s">
        <v>225</v>
      </c>
      <c r="F11" s="20"/>
      <c r="G11" s="21" t="s">
        <v>229</v>
      </c>
      <c r="H11" s="15" t="s">
        <v>40</v>
      </c>
      <c r="I11" s="15" t="s">
        <v>176</v>
      </c>
    </row>
    <row r="12" customFormat="false" ht="15" hidden="false" customHeight="false" outlineLevel="0" collapsed="false">
      <c r="A12" s="18" t="s">
        <v>184</v>
      </c>
      <c r="B12" s="19" t="s">
        <v>230</v>
      </c>
      <c r="C12" s="19" t="s">
        <v>230</v>
      </c>
      <c r="D12" s="18" t="s">
        <v>179</v>
      </c>
      <c r="E12" s="18" t="s">
        <v>225</v>
      </c>
      <c r="F12" s="20"/>
      <c r="G12" s="21"/>
      <c r="H12" s="15" t="s">
        <v>40</v>
      </c>
      <c r="I12" s="15" t="s">
        <v>176</v>
      </c>
    </row>
    <row r="13" customFormat="false" ht="15" hidden="false" customHeight="false" outlineLevel="0" collapsed="false">
      <c r="A13" s="18" t="s">
        <v>186</v>
      </c>
      <c r="B13" s="19" t="s">
        <v>81</v>
      </c>
      <c r="C13" s="19" t="s">
        <v>81</v>
      </c>
      <c r="D13" s="18" t="s">
        <v>179</v>
      </c>
      <c r="E13" s="18" t="s">
        <v>225</v>
      </c>
      <c r="F13" s="20"/>
      <c r="G13" s="21"/>
      <c r="H13" s="15" t="s">
        <v>40</v>
      </c>
      <c r="I13" s="15" t="s">
        <v>176</v>
      </c>
    </row>
    <row r="14" customFormat="false" ht="15" hidden="false" customHeight="false" outlineLevel="0" collapsed="false">
      <c r="A14" s="18" t="s">
        <v>187</v>
      </c>
      <c r="B14" s="19" t="s">
        <v>231</v>
      </c>
      <c r="C14" s="19" t="s">
        <v>231</v>
      </c>
      <c r="D14" s="18" t="s">
        <v>179</v>
      </c>
      <c r="E14" s="18" t="s">
        <v>225</v>
      </c>
      <c r="F14" s="20"/>
      <c r="G14" s="21"/>
      <c r="H14" s="15" t="s">
        <v>40</v>
      </c>
      <c r="I14" s="15" t="s">
        <v>176</v>
      </c>
    </row>
    <row r="15" customFormat="false" ht="15" hidden="false" customHeight="false" outlineLevel="0" collapsed="false">
      <c r="A15" s="18" t="s">
        <v>189</v>
      </c>
      <c r="B15" s="19" t="s">
        <v>232</v>
      </c>
      <c r="C15" s="19" t="s">
        <v>232</v>
      </c>
      <c r="D15" s="18" t="s">
        <v>179</v>
      </c>
      <c r="E15" s="18" t="s">
        <v>225</v>
      </c>
      <c r="F15" s="20"/>
      <c r="G15" s="21"/>
      <c r="H15" s="15" t="s">
        <v>40</v>
      </c>
      <c r="I15" s="15" t="s">
        <v>176</v>
      </c>
    </row>
    <row r="16" customFormat="false" ht="15" hidden="false" customHeight="false" outlineLevel="0" collapsed="false">
      <c r="A16" s="18" t="s">
        <v>67</v>
      </c>
      <c r="B16" s="19" t="s">
        <v>233</v>
      </c>
      <c r="C16" s="19" t="s">
        <v>233</v>
      </c>
      <c r="D16" s="18" t="s">
        <v>179</v>
      </c>
      <c r="E16" s="18" t="s">
        <v>225</v>
      </c>
      <c r="F16" s="20"/>
      <c r="G16" s="21"/>
      <c r="H16" s="15" t="s">
        <v>40</v>
      </c>
      <c r="I16" s="15" t="s">
        <v>176</v>
      </c>
    </row>
    <row r="17" customFormat="false" ht="15" hidden="false" customHeight="false" outlineLevel="0" collapsed="false">
      <c r="A17" s="18" t="s">
        <v>73</v>
      </c>
      <c r="B17" s="19" t="s">
        <v>232</v>
      </c>
      <c r="C17" s="19" t="s">
        <v>232</v>
      </c>
      <c r="D17" s="18" t="s">
        <v>179</v>
      </c>
      <c r="E17" s="18" t="s">
        <v>225</v>
      </c>
      <c r="F17" s="20"/>
      <c r="G17" s="21"/>
      <c r="H17" s="15" t="s">
        <v>40</v>
      </c>
      <c r="I17" s="15" t="s">
        <v>176</v>
      </c>
    </row>
    <row r="18" customFormat="false" ht="15" hidden="false" customHeight="false" outlineLevel="0" collapsed="false">
      <c r="A18" s="18" t="s">
        <v>75</v>
      </c>
      <c r="B18" s="19" t="s">
        <v>234</v>
      </c>
      <c r="C18" s="19" t="s">
        <v>234</v>
      </c>
      <c r="D18" s="18" t="s">
        <v>179</v>
      </c>
      <c r="E18" s="18" t="s">
        <v>225</v>
      </c>
      <c r="F18" s="20"/>
      <c r="G18" s="21"/>
      <c r="H18" s="15" t="s">
        <v>40</v>
      </c>
      <c r="I18" s="15" t="s">
        <v>176</v>
      </c>
    </row>
    <row r="19" customFormat="false" ht="15" hidden="false" customHeight="false" outlineLevel="0" collapsed="false">
      <c r="A19" s="18" t="s">
        <v>77</v>
      </c>
      <c r="B19" s="19" t="s">
        <v>232</v>
      </c>
      <c r="C19" s="19" t="s">
        <v>232</v>
      </c>
      <c r="D19" s="18" t="s">
        <v>179</v>
      </c>
      <c r="E19" s="18" t="s">
        <v>225</v>
      </c>
      <c r="F19" s="20"/>
      <c r="G19" s="21"/>
      <c r="H19" s="15" t="s">
        <v>40</v>
      </c>
      <c r="I19" s="15" t="s">
        <v>176</v>
      </c>
    </row>
    <row r="20" customFormat="false" ht="15" hidden="false" customHeight="false" outlineLevel="0" collapsed="false">
      <c r="A20" s="18" t="s">
        <v>78</v>
      </c>
      <c r="B20" s="19" t="s">
        <v>235</v>
      </c>
      <c r="C20" s="19" t="s">
        <v>235</v>
      </c>
      <c r="D20" s="18" t="s">
        <v>179</v>
      </c>
      <c r="E20" s="18" t="s">
        <v>225</v>
      </c>
      <c r="F20" s="20"/>
      <c r="G20" s="21"/>
      <c r="H20" s="15" t="s">
        <v>40</v>
      </c>
      <c r="I20" s="15" t="s">
        <v>176</v>
      </c>
    </row>
  </sheetData>
  <mergeCells count="2">
    <mergeCell ref="A4:G4"/>
    <mergeCell ref="A6:G6"/>
  </mergeCells>
  <conditionalFormatting sqref="D4:D23">
    <cfRule type="cellIs" priority="2" operator="equal" aboveAverage="0" equalAverage="0" bottom="0" percent="0" rank="0" text="" dxfId="3">
      <formula>"MISMATCH"</formula>
    </cfRule>
    <cfRule type="cellIs" priority="3" operator="equal" aboveAverage="0" equalAverage="0" bottom="0" percent="0" rank="0" text="" dxfId="4">
      <formula>"OK"</formula>
    </cfRule>
  </conditionalFormatting>
  <hyperlinks>
    <hyperlink ref="A7" r:id="rId1" display="Evidence: screenshot 223854_2222_W2_1.png  (SHA-256 dac9b8759818a663...)"/>
  </hyperlink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&amp;LConfidential - contains taxpayer information&amp;RPage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2026-09-23T22:38:57Z</dcterms:created>
  <dc:creator>openpyxl</dc:creator>
  <dc:description/>
  <dc:language>en-US</dc:language>
  <cp:lastModifiedBy/>
  <dcterms:modified xsi:type="dcterms:W3CDTF">2026-09-23T22:38:58Z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